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8_{9BD34295-251B-4155-8E08-40A710DDDD36}" xr6:coauthVersionLast="46" xr6:coauthVersionMax="46" xr10:uidLastSave="{00000000-0000-0000-0000-000000000000}"/>
  <bookViews>
    <workbookView xWindow="-120" yWindow="-120" windowWidth="20730" windowHeight="11160" xr2:uid="{1B41ABB3-C67D-4A90-9C18-FD4D731FCCD4}"/>
  </bookViews>
  <sheets>
    <sheet name="Registro Historias de Usuario" sheetId="6" r:id="rId1"/>
    <sheet name="Product Backlog" sheetId="3" r:id="rId2"/>
    <sheet name="Asignación Tareas" sheetId="1" r:id="rId3"/>
    <sheet name="Descripción de Tareas" sheetId="8" r:id="rId4"/>
    <sheet name="Sprint Backlog" sheetId="10" r:id="rId5"/>
    <sheet name="Sprint BurnDown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6" l="1" a="1"/>
  <c r="D8" i="6" s="1"/>
  <c r="J5" i="8"/>
  <c r="D9" i="1" l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58" i="10" a="1"/>
  <c r="C58" i="10" s="1"/>
  <c r="C59" i="10" a="1"/>
  <c r="C59" i="10" s="1"/>
  <c r="C60" i="10" a="1"/>
  <c r="C60" i="10" s="1"/>
  <c r="C61" i="10" a="1"/>
  <c r="C61" i="10" s="1"/>
  <c r="C62" i="10" a="1"/>
  <c r="C62" i="10" s="1"/>
  <c r="C63" i="10" a="1"/>
  <c r="C63" i="10" s="1"/>
  <c r="C64" i="10" a="1"/>
  <c r="C64" i="10" s="1"/>
  <c r="C65" i="10" a="1"/>
  <c r="C65" i="10" s="1"/>
  <c r="C66" i="10" a="1"/>
  <c r="C66" i="10" s="1"/>
  <c r="C67" i="10" a="1"/>
  <c r="C67" i="10" s="1"/>
  <c r="C68" i="10" a="1"/>
  <c r="C68" i="10" s="1"/>
  <c r="C69" i="10" a="1"/>
  <c r="C69" i="10" s="1"/>
  <c r="C70" i="10" a="1"/>
  <c r="C70" i="10" s="1"/>
  <c r="C71" i="10" a="1"/>
  <c r="C71" i="10" s="1"/>
  <c r="C72" i="10" a="1"/>
  <c r="C72" i="10" s="1"/>
  <c r="C73" i="10" a="1"/>
  <c r="C73" i="10" s="1"/>
  <c r="C74" i="10" a="1"/>
  <c r="C74" i="10" s="1"/>
  <c r="H19" i="10" a="1"/>
  <c r="H19" i="10" s="1"/>
  <c r="H20" i="10" a="1"/>
  <c r="H20" i="10" s="1"/>
  <c r="H21" i="10" a="1"/>
  <c r="H21" i="10" s="1"/>
  <c r="H22" i="10" a="1"/>
  <c r="H22" i="10" s="1"/>
  <c r="H23" i="10" a="1"/>
  <c r="H23" i="10" s="1"/>
  <c r="H24" i="10" a="1"/>
  <c r="H24" i="10" s="1"/>
  <c r="H25" i="10" a="1"/>
  <c r="H25" i="10" s="1"/>
  <c r="H26" i="10" a="1"/>
  <c r="H26" i="10" s="1"/>
  <c r="H27" i="10" a="1"/>
  <c r="H27" i="10" s="1"/>
  <c r="H28" i="10" a="1"/>
  <c r="H28" i="10" s="1"/>
  <c r="H29" i="10" a="1"/>
  <c r="H29" i="10" s="1"/>
  <c r="H30" i="10" a="1"/>
  <c r="H30" i="10" s="1"/>
  <c r="H31" i="10" a="1"/>
  <c r="H31" i="10" s="1"/>
  <c r="H32" i="10" a="1"/>
  <c r="H32" i="10" s="1"/>
  <c r="H33" i="10" a="1"/>
  <c r="H33" i="10" s="1"/>
  <c r="H34" i="10" a="1"/>
  <c r="H34" i="10" s="1"/>
  <c r="H35" i="10" a="1"/>
  <c r="H35" i="10" s="1"/>
  <c r="H36" i="10" a="1"/>
  <c r="H36" i="10" s="1"/>
  <c r="H37" i="10" a="1"/>
  <c r="H37" i="10" s="1"/>
  <c r="H38" i="10" a="1"/>
  <c r="H38" i="10" s="1"/>
  <c r="H39" i="10" a="1"/>
  <c r="H39" i="10" s="1"/>
  <c r="H40" i="10" a="1"/>
  <c r="H40" i="10" s="1"/>
  <c r="H41" i="10" a="1"/>
  <c r="H41" i="10" s="1"/>
  <c r="H42" i="10" a="1"/>
  <c r="H42" i="10" s="1"/>
  <c r="H43" i="10" a="1"/>
  <c r="H43" i="10" s="1"/>
  <c r="H44" i="10" a="1"/>
  <c r="H44" i="10" s="1"/>
  <c r="H45" i="10" a="1"/>
  <c r="H45" i="10" s="1"/>
  <c r="H46" i="10" a="1"/>
  <c r="H46" i="10" s="1"/>
  <c r="H47" i="10" a="1"/>
  <c r="H47" i="10" s="1"/>
  <c r="H48" i="10" a="1"/>
  <c r="H48" i="10" s="1"/>
  <c r="H49" i="10" a="1"/>
  <c r="H49" i="10" s="1"/>
  <c r="H50" i="10" a="1"/>
  <c r="H50" i="10" s="1"/>
  <c r="H51" i="10" a="1"/>
  <c r="H51" i="10" s="1"/>
  <c r="H52" i="10" a="1"/>
  <c r="H52" i="10" s="1"/>
  <c r="H53" i="10" a="1"/>
  <c r="H53" i="10" s="1"/>
  <c r="H54" i="10" a="1"/>
  <c r="H54" i="10" s="1"/>
  <c r="H55" i="10" a="1"/>
  <c r="H55" i="10" s="1"/>
  <c r="H56" i="10" a="1"/>
  <c r="H56" i="10" s="1"/>
  <c r="H57" i="10" a="1"/>
  <c r="H57" i="10" s="1"/>
  <c r="H58" i="10" a="1"/>
  <c r="H58" i="10" s="1"/>
  <c r="H59" i="10" a="1"/>
  <c r="H59" i="10" s="1"/>
  <c r="H60" i="10" a="1"/>
  <c r="H60" i="10" s="1"/>
  <c r="H61" i="10" a="1"/>
  <c r="H61" i="10" s="1"/>
  <c r="H62" i="10" a="1"/>
  <c r="H62" i="10" s="1"/>
  <c r="H63" i="10" a="1"/>
  <c r="H63" i="10" s="1"/>
  <c r="H64" i="10" a="1"/>
  <c r="H64" i="10" s="1"/>
  <c r="H65" i="10" a="1"/>
  <c r="H65" i="10" s="1"/>
  <c r="H66" i="10" a="1"/>
  <c r="H66" i="10" s="1"/>
  <c r="H67" i="10" a="1"/>
  <c r="H67" i="10" s="1"/>
  <c r="H68" i="10" a="1"/>
  <c r="H68" i="10" s="1"/>
  <c r="H69" i="10" a="1"/>
  <c r="H69" i="10" s="1"/>
  <c r="H70" i="10" a="1"/>
  <c r="H70" i="10" s="1"/>
  <c r="H71" i="10" a="1"/>
  <c r="H71" i="10" s="1"/>
  <c r="H72" i="10" a="1"/>
  <c r="H72" i="10" s="1"/>
  <c r="H73" i="10" a="1"/>
  <c r="H73" i="10" s="1"/>
  <c r="H74" i="10" a="1"/>
  <c r="H74" i="10" s="1"/>
  <c r="H75" i="10" a="1"/>
  <c r="H75" i="10" s="1"/>
  <c r="H76" i="10" a="1"/>
  <c r="H76" i="10" s="1"/>
  <c r="H77" i="10" a="1"/>
  <c r="H77" i="10" s="1"/>
  <c r="H78" i="10" a="1"/>
  <c r="H78" i="10" s="1"/>
  <c r="H79" i="10" a="1"/>
  <c r="H79" i="10" s="1"/>
  <c r="H80" i="10" a="1"/>
  <c r="H80" i="10" s="1"/>
  <c r="H81" i="10" a="1"/>
  <c r="H81" i="10" s="1"/>
  <c r="H82" i="10" a="1"/>
  <c r="H82" i="10" s="1"/>
  <c r="H83" i="10" a="1"/>
  <c r="H83" i="10" s="1"/>
  <c r="H84" i="10" a="1"/>
  <c r="H84" i="10" s="1"/>
  <c r="M31" i="10" a="1"/>
  <c r="M31" i="10" s="1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7" i="10" a="1"/>
  <c r="M37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M43" i="10" a="1"/>
  <c r="M43" i="10" s="1"/>
  <c r="M44" i="10" a="1"/>
  <c r="M44" i="10" s="1"/>
  <c r="M45" i="10" a="1"/>
  <c r="M45" i="10" s="1"/>
  <c r="M46" i="10" a="1"/>
  <c r="M46" i="10" s="1"/>
  <c r="M47" i="10" a="1"/>
  <c r="M47" i="10" s="1"/>
  <c r="M48" i="10" a="1"/>
  <c r="M48" i="10" s="1"/>
  <c r="M49" i="10" a="1"/>
  <c r="M49" i="10" s="1"/>
  <c r="M50" i="10" a="1"/>
  <c r="M50" i="10" s="1"/>
  <c r="M51" i="10" a="1"/>
  <c r="M51" i="10" s="1"/>
  <c r="M52" i="10" a="1"/>
  <c r="M52" i="10" s="1"/>
  <c r="M53" i="10" a="1"/>
  <c r="M53" i="10" s="1"/>
  <c r="M54" i="10" a="1"/>
  <c r="M54" i="10" s="1"/>
  <c r="M55" i="10" a="1"/>
  <c r="M55" i="10" s="1"/>
  <c r="M56" i="10" a="1"/>
  <c r="M56" i="10" s="1"/>
  <c r="M57" i="10" a="1"/>
  <c r="M57" i="10" s="1"/>
  <c r="M58" i="10" a="1"/>
  <c r="M58" i="10" s="1"/>
  <c r="M59" i="10" a="1"/>
  <c r="M59" i="10" s="1"/>
  <c r="M60" i="10" a="1"/>
  <c r="M60" i="10" s="1"/>
  <c r="M61" i="10" a="1"/>
  <c r="M61" i="10" s="1"/>
  <c r="M62" i="10" a="1"/>
  <c r="M62" i="10" s="1"/>
  <c r="M63" i="10" a="1"/>
  <c r="M63" i="10" s="1"/>
  <c r="M64" i="10" a="1"/>
  <c r="M64" i="10" s="1"/>
  <c r="M65" i="10" a="1"/>
  <c r="M65" i="10" s="1"/>
  <c r="M66" i="10" a="1"/>
  <c r="M66" i="10" s="1"/>
  <c r="M67" i="10" a="1"/>
  <c r="M67" i="10" s="1"/>
  <c r="M68" i="10" a="1"/>
  <c r="M68" i="10" s="1"/>
  <c r="M69" i="10" a="1"/>
  <c r="M69" i="10" s="1"/>
  <c r="M70" i="10" a="1"/>
  <c r="M70" i="10" s="1"/>
  <c r="M71" i="10" a="1"/>
  <c r="M71" i="10" s="1"/>
  <c r="M72" i="10" a="1"/>
  <c r="M72" i="10" s="1"/>
  <c r="M73" i="10" a="1"/>
  <c r="M73" i="10" s="1"/>
  <c r="M74" i="10" a="1"/>
  <c r="M74" i="10" s="1"/>
  <c r="M75" i="10" a="1"/>
  <c r="M75" i="10" s="1"/>
  <c r="C75" i="10" a="1"/>
  <c r="C75" i="10" s="1"/>
  <c r="C76" i="10" a="1"/>
  <c r="C76" i="10" s="1"/>
  <c r="C77" i="10" a="1"/>
  <c r="C77" i="10" s="1"/>
  <c r="C78" i="10" a="1"/>
  <c r="C78" i="10" s="1"/>
  <c r="C79" i="10" a="1"/>
  <c r="C79" i="10" s="1"/>
  <c r="C80" i="10" a="1"/>
  <c r="C80" i="10" s="1"/>
  <c r="C81" i="10" a="1"/>
  <c r="C81" i="10" s="1"/>
  <c r="C82" i="10" a="1"/>
  <c r="C82" i="10" s="1"/>
  <c r="C83" i="10" a="1"/>
  <c r="C83" i="10" s="1"/>
  <c r="C84" i="10" a="1"/>
  <c r="C84" i="10" s="1"/>
  <c r="B13" i="10" a="1"/>
  <c r="B13" i="10" s="1"/>
  <c r="B14" i="10" a="1"/>
  <c r="B14" i="10" s="1"/>
  <c r="C14" i="10" s="1" a="1"/>
  <c r="C14" i="10" s="1"/>
  <c r="B15" i="10" a="1"/>
  <c r="B15" i="10" s="1"/>
  <c r="C15" i="10" s="1" a="1"/>
  <c r="C15" i="10" s="1"/>
  <c r="B16" i="10" a="1"/>
  <c r="B16" i="10" s="1"/>
  <c r="C16" i="10" s="1" a="1"/>
  <c r="C16" i="10" s="1"/>
  <c r="B17" i="10" a="1"/>
  <c r="B17" i="10" s="1"/>
  <c r="C17" i="10" s="1" a="1"/>
  <c r="C17" i="10" s="1"/>
  <c r="B18" i="10" a="1"/>
  <c r="B18" i="10" s="1"/>
  <c r="C18" i="10" s="1" a="1"/>
  <c r="C18" i="10" s="1"/>
  <c r="B19" i="10" a="1"/>
  <c r="B19" i="10" s="1"/>
  <c r="C19" i="10" s="1" a="1"/>
  <c r="C19" i="10" s="1"/>
  <c r="B20" i="10" a="1"/>
  <c r="B20" i="10" s="1"/>
  <c r="C20" i="10" s="1" a="1"/>
  <c r="C20" i="10" s="1"/>
  <c r="B21" i="10" a="1"/>
  <c r="B21" i="10" s="1"/>
  <c r="C21" i="10" s="1" a="1"/>
  <c r="C21" i="10" s="1"/>
  <c r="G13" i="10" a="1"/>
  <c r="G13" i="10" s="1"/>
  <c r="H13" i="10" s="1" a="1"/>
  <c r="H13" i="10" s="1"/>
  <c r="G14" i="10" a="1"/>
  <c r="G14" i="10" s="1"/>
  <c r="H14" i="10" s="1" a="1"/>
  <c r="H14" i="10" s="1"/>
  <c r="G15" i="10" a="1"/>
  <c r="G15" i="10" s="1"/>
  <c r="H15" i="10" s="1" a="1"/>
  <c r="H15" i="10" s="1"/>
  <c r="G16" i="10" a="1"/>
  <c r="G16" i="10" s="1"/>
  <c r="H16" i="10" s="1" a="1"/>
  <c r="H16" i="10" s="1"/>
  <c r="G17" i="10" a="1"/>
  <c r="G17" i="10" s="1"/>
  <c r="H17" i="10" s="1" a="1"/>
  <c r="H17" i="10" s="1"/>
  <c r="G18" i="10" a="1"/>
  <c r="G18" i="10" s="1"/>
  <c r="H18" i="10" s="1" a="1"/>
  <c r="H18" i="10" s="1"/>
  <c r="L13" i="10" a="1"/>
  <c r="L13" i="10" s="1"/>
  <c r="M13" i="10" s="1" a="1"/>
  <c r="M13" i="10" s="1"/>
  <c r="L14" i="10" a="1"/>
  <c r="L14" i="10" s="1"/>
  <c r="M14" i="10" s="1" a="1"/>
  <c r="M14" i="10" s="1"/>
  <c r="L15" i="10" a="1"/>
  <c r="L15" i="10" s="1"/>
  <c r="M15" i="10" s="1" a="1"/>
  <c r="M15" i="10" s="1"/>
  <c r="L16" i="10" a="1"/>
  <c r="L16" i="10" s="1"/>
  <c r="M16" i="10" s="1" a="1"/>
  <c r="M16" i="10" s="1"/>
  <c r="L17" i="10" a="1"/>
  <c r="L17" i="10" s="1"/>
  <c r="M17" i="10" s="1" a="1"/>
  <c r="M17" i="10" s="1"/>
  <c r="L18" i="10" a="1"/>
  <c r="L18" i="10" s="1"/>
  <c r="M18" i="10" s="1" a="1"/>
  <c r="M18" i="10" s="1"/>
  <c r="L19" i="10" a="1"/>
  <c r="L19" i="10" s="1"/>
  <c r="M19" i="10" s="1" a="1"/>
  <c r="M19" i="10" s="1"/>
  <c r="L20" i="10" a="1"/>
  <c r="L20" i="10" s="1"/>
  <c r="M20" i="10" s="1" a="1"/>
  <c r="M20" i="10" s="1"/>
  <c r="L21" i="10" a="1"/>
  <c r="L21" i="10" s="1"/>
  <c r="M21" i="10" s="1" a="1"/>
  <c r="M21" i="10" s="1"/>
  <c r="L22" i="10" a="1"/>
  <c r="L22" i="10" s="1"/>
  <c r="M22" i="10" s="1" a="1"/>
  <c r="M22" i="10" s="1"/>
  <c r="L23" i="10" a="1"/>
  <c r="L23" i="10" s="1"/>
  <c r="M23" i="10" s="1" a="1"/>
  <c r="M23" i="10" s="1"/>
  <c r="L24" i="10" a="1"/>
  <c r="L24" i="10" s="1"/>
  <c r="M24" i="10" s="1" a="1"/>
  <c r="M24" i="10" s="1"/>
  <c r="L25" i="10" a="1"/>
  <c r="L25" i="10" s="1"/>
  <c r="M25" i="10" s="1" a="1"/>
  <c r="M25" i="10" s="1"/>
  <c r="L26" i="10" a="1"/>
  <c r="L26" i="10" s="1"/>
  <c r="M26" i="10" s="1" a="1"/>
  <c r="M26" i="10" s="1"/>
  <c r="L27" i="10" a="1"/>
  <c r="L27" i="10" s="1"/>
  <c r="M27" i="10" s="1" a="1"/>
  <c r="M27" i="10" s="1"/>
  <c r="L28" i="10" a="1"/>
  <c r="L28" i="10" s="1"/>
  <c r="M28" i="10" s="1" a="1"/>
  <c r="M28" i="10" s="1"/>
  <c r="L29" i="10" a="1"/>
  <c r="L29" i="10" s="1"/>
  <c r="M29" i="10" s="1" a="1"/>
  <c r="M29" i="10" s="1"/>
  <c r="L30" i="10" a="1"/>
  <c r="L30" i="10" s="1"/>
  <c r="M30" i="10" s="1" a="1"/>
  <c r="M30" i="10" s="1"/>
  <c r="M76" i="10" a="1"/>
  <c r="M76" i="10" s="1"/>
  <c r="M77" i="10" a="1"/>
  <c r="M77" i="10" s="1"/>
  <c r="M78" i="10" a="1"/>
  <c r="M78" i="10" s="1"/>
  <c r="M79" i="10" a="1"/>
  <c r="M79" i="10" s="1"/>
  <c r="M80" i="10" a="1"/>
  <c r="M80" i="10" s="1"/>
  <c r="C85" i="10" a="1"/>
  <c r="C85" i="10" s="1"/>
  <c r="C86" i="10" a="1"/>
  <c r="C86" i="10" s="1"/>
  <c r="C87" i="10" a="1"/>
  <c r="C87" i="10" s="1"/>
  <c r="C88" i="10" a="1"/>
  <c r="C88" i="10" s="1"/>
  <c r="C89" i="10" a="1"/>
  <c r="C89" i="10" s="1"/>
  <c r="C90" i="10" a="1"/>
  <c r="C90" i="10" s="1"/>
  <c r="G6" i="1" a="1"/>
  <c r="G6" i="1" s="1"/>
  <c r="I13" i="3"/>
  <c r="B12" i="1"/>
  <c r="B11" i="1"/>
  <c r="C13" i="10" l="1" a="1"/>
  <c r="C13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<sst xmlns="http://schemas.openxmlformats.org/spreadsheetml/2006/main" count="95" uniqueCount="61">
  <si>
    <t>REGISTRO DE HISTORIAS DE USUARIO</t>
  </si>
  <si>
    <t>COMO</t>
  </si>
  <si>
    <t>QUIERO</t>
  </si>
  <si>
    <t>PARA</t>
  </si>
  <si>
    <t>ID DE HISTORIA
DE USUARIO</t>
  </si>
  <si>
    <t>HISTORIAS DE USUARIO DEL PROYECTO</t>
  </si>
  <si>
    <t>ID</t>
  </si>
  <si>
    <t>[USUARIO]</t>
  </si>
  <si>
    <t>[OBJETIVO]</t>
  </si>
  <si>
    <t>[BENEFICIO]</t>
  </si>
  <si>
    <t>Diligenciar los siguientes campos sin inicial mayúscula*</t>
  </si>
  <si>
    <t>Como</t>
  </si>
  <si>
    <t>quiero</t>
  </si>
  <si>
    <t>para</t>
  </si>
  <si>
    <t>ESTIMACIÓN</t>
  </si>
  <si>
    <t>PRIORIDAD</t>
  </si>
  <si>
    <r>
      <rPr>
        <sz val="11"/>
        <color theme="1"/>
        <rFont val="Segoe UI Semibold"/>
        <family val="2"/>
      </rPr>
      <t>Data and Analytics</t>
    </r>
    <r>
      <rPr>
        <sz val="11"/>
        <color theme="1"/>
        <rFont val="Segoe UI"/>
        <family val="2"/>
      </rPr>
      <t xml:space="preserve">
</t>
    </r>
    <r>
      <rPr>
        <b/>
        <sz val="11"/>
        <color theme="1"/>
        <rFont val="Segoe UI"/>
        <family val="2"/>
      </rPr>
      <t>PRODUCT BACKLOG - CÓDIGO DE PROYECTO CO_496</t>
    </r>
    <r>
      <rPr>
        <sz val="11"/>
        <color theme="1"/>
        <rFont val="Segoe UI"/>
        <family val="2"/>
      </rPr>
      <t xml:space="preserve">
</t>
    </r>
    <r>
      <rPr>
        <sz val="11"/>
        <color theme="1"/>
        <rFont val="Segoe UI Semibold"/>
        <family val="2"/>
      </rPr>
      <t>CLIENTE: BANCO ADENINA S.A.</t>
    </r>
  </si>
  <si>
    <t>Total</t>
  </si>
  <si>
    <t>usuario</t>
  </si>
  <si>
    <t>SPRINT</t>
  </si>
  <si>
    <t>ASIGNACIÓN DE TAREAS POR HISTORIA DE USUARIO</t>
  </si>
  <si>
    <t>Juan Pérez</t>
  </si>
  <si>
    <t>TAREA</t>
  </si>
  <si>
    <t>ID_H.U</t>
  </si>
  <si>
    <t>ESTADO</t>
  </si>
  <si>
    <t>ENCARGADO</t>
  </si>
  <si>
    <t>ID DE TAREA</t>
  </si>
  <si>
    <t>Pendiente</t>
  </si>
  <si>
    <t>En progreso</t>
  </si>
  <si>
    <t>Finalizado</t>
  </si>
  <si>
    <t>DESCRIPCIÓN DE TAREAS POR HISTORIA DE USUARIO</t>
  </si>
  <si>
    <r>
      <rPr>
        <sz val="11"/>
        <color theme="1"/>
        <rFont val="Segoe UI Semibold"/>
        <family val="2"/>
      </rPr>
      <t>Data and Analytics</t>
    </r>
    <r>
      <rPr>
        <sz val="11"/>
        <color theme="1"/>
        <rFont val="Segoe UI"/>
        <family val="2"/>
      </rPr>
      <t xml:space="preserve">
</t>
    </r>
    <r>
      <rPr>
        <b/>
        <sz val="11"/>
        <color theme="1"/>
        <rFont val="Segoe UI"/>
        <family val="2"/>
      </rPr>
      <t>SPRINT BACKLOG - CÓDIGO DE PROYECTO CO_496</t>
    </r>
    <r>
      <rPr>
        <sz val="11"/>
        <color theme="1"/>
        <rFont val="Segoe UI"/>
        <family val="2"/>
      </rPr>
      <t xml:space="preserve">
</t>
    </r>
    <r>
      <rPr>
        <sz val="11"/>
        <color theme="1"/>
        <rFont val="Segoe UI Semibold"/>
        <family val="2"/>
      </rPr>
      <t>CLIENTE: BANCO ADENINA S.A.</t>
    </r>
  </si>
  <si>
    <t>ID TAREA</t>
  </si>
  <si>
    <t>SPRINT #</t>
  </si>
  <si>
    <t>PENDIENTE</t>
  </si>
  <si>
    <t>EN PROGRESO</t>
  </si>
  <si>
    <t>FINALIZADO</t>
  </si>
  <si>
    <t>DESCRIPCIÓN TAREA</t>
  </si>
  <si>
    <t>HISTORIA DE USUARIO</t>
  </si>
  <si>
    <t>AGREGAR TAREA A HISTORIA DE USUARIO</t>
  </si>
  <si>
    <t>Pablo Ruiz</t>
  </si>
  <si>
    <t>* En primer lugar, escriba el ID de una Historia de Usuario a la que requiera asignar tareas. Después, escriba la tarea y seleccione el encargado y el estado.</t>
  </si>
  <si>
    <t xml:space="preserve">SPRINT #       </t>
  </si>
  <si>
    <t>un usuario autorizado</t>
  </si>
  <si>
    <t>agregar un nuevo ítem</t>
  </si>
  <si>
    <t>poder verlo en la lista</t>
  </si>
  <si>
    <t>no verlo en la lista</t>
  </si>
  <si>
    <t>ver un catálogo</t>
  </si>
  <si>
    <t>agregar productos</t>
  </si>
  <si>
    <t>Tarea A</t>
  </si>
  <si>
    <t>Tarea B</t>
  </si>
  <si>
    <t>Tarea C</t>
  </si>
  <si>
    <t>Daniela Gómez</t>
  </si>
  <si>
    <t>Tarea D</t>
  </si>
  <si>
    <t>SPRINT BURNDOWN CHART</t>
  </si>
  <si>
    <t>Duración:</t>
  </si>
  <si>
    <t>días</t>
  </si>
  <si>
    <t>Día calendario</t>
  </si>
  <si>
    <t>Estimación planeada</t>
  </si>
  <si>
    <t>Estimación actual</t>
  </si>
  <si>
    <t>eliminar un ítem seleccionado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</si>
</sst>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8"/>
      <color theme="1"/>
      <name val="Segoe UI"/>
      <family val="2"/>
    </font>
    <font>
      <sz val="11"/>
      <color theme="1"/>
      <name val="Segoe UI Historic"/>
      <family val="2"/>
    </font>
    <font>
      <b/>
      <sz val="11"/>
      <color theme="1"/>
      <name val="Segoe UI Historic"/>
      <family val="2"/>
    </font>
    <font>
      <sz val="11"/>
      <color theme="1"/>
      <name val="Segoe UI Light"/>
      <family val="2"/>
    </font>
    <font>
      <b/>
      <sz val="14"/>
      <color theme="1"/>
      <name val="Segoe UI"/>
      <family val="2"/>
    </font>
    <font>
      <b/>
      <sz val="12"/>
      <color theme="1"/>
      <name val="Segoe UI"/>
      <family val="2"/>
    </font>
    <font>
      <b/>
      <sz val="11"/>
      <color theme="1"/>
      <name val="Segoe UI Light"/>
      <family val="2"/>
    </font>
    <font>
      <b/>
      <sz val="11"/>
      <color theme="0"/>
      <name val="Segoe UI"/>
      <family val="2"/>
    </font>
    <font>
      <sz val="11"/>
      <color theme="1"/>
      <name val="Segoe UI Semilight"/>
      <family val="2"/>
    </font>
    <font>
      <b/>
      <sz val="18"/>
      <name val="Segoe UI"/>
      <family val="2"/>
    </font>
    <font>
      <b/>
      <sz val="11"/>
      <name val="Segoe UI Semilight"/>
      <family val="2"/>
    </font>
    <font>
      <sz val="11"/>
      <name val="Segoe UI"/>
      <family val="2"/>
    </font>
    <font>
      <b/>
      <sz val="11"/>
      <name val="Segoe UI"/>
      <family val="2"/>
    </font>
    <font>
      <sz val="11"/>
      <color theme="0"/>
      <name val="Segoe UI"/>
      <family val="2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sz val="10"/>
      <color theme="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EFA"/>
        <bgColor indexed="64"/>
      </patternFill>
    </fill>
    <fill>
      <patternFill patternType="solid">
        <fgColor theme="8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3" fillId="0" borderId="0" xfId="0" applyFont="1"/>
    <xf numFmtId="0" fontId="3" fillId="0" borderId="0" xfId="0" applyFont="1" applyAlignment="1">
      <alignment vertical="center" wrapText="1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0" xfId="0" applyBorder="1"/>
    <xf numFmtId="0" fontId="0" fillId="0" borderId="12" xfId="0" applyBorder="1"/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2" fillId="0" borderId="0" xfId="0" applyFont="1"/>
    <xf numFmtId="0" fontId="7" fillId="0" borderId="0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Fill="1" applyBorder="1"/>
    <xf numFmtId="0" fontId="7" fillId="0" borderId="0" xfId="0" applyFont="1" applyFill="1" applyBorder="1" applyAlignment="1"/>
    <xf numFmtId="0" fontId="2" fillId="2" borderId="3" xfId="0" applyFont="1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7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Alignment="1">
      <alignment horizontal="center" vertical="center" wrapText="1"/>
    </xf>
    <xf numFmtId="0" fontId="7" fillId="3" borderId="1" xfId="0" applyFont="1" applyFill="1" applyBorder="1" applyAlignment="1"/>
    <xf numFmtId="0" fontId="7" fillId="3" borderId="1" xfId="0" applyFont="1" applyFill="1" applyBorder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2" fillId="2" borderId="0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vertical="center" wrapText="1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0" fontId="14" fillId="0" borderId="12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16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4" borderId="23" xfId="0" applyFont="1" applyFill="1" applyBorder="1" applyAlignment="1">
      <alignment horizontal="center" vertical="center" wrapText="1"/>
    </xf>
    <xf numFmtId="0" fontId="19" fillId="4" borderId="22" xfId="0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5" fillId="0" borderId="18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1" fillId="8" borderId="29" xfId="0" applyFont="1" applyFill="1" applyBorder="1" applyAlignment="1">
      <alignment horizontal="center" vertical="center"/>
    </xf>
    <xf numFmtId="0" fontId="21" fillId="8" borderId="30" xfId="0" applyFont="1" applyFill="1" applyBorder="1" applyAlignment="1">
      <alignment horizontal="center" vertical="center"/>
    </xf>
    <xf numFmtId="0" fontId="21" fillId="8" borderId="3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1" fillId="8" borderId="46" xfId="0" applyFont="1" applyFill="1" applyBorder="1" applyAlignment="1">
      <alignment horizontal="center" vertical="center"/>
    </xf>
    <xf numFmtId="0" fontId="21" fillId="8" borderId="39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0" fontId="17" fillId="6" borderId="1" xfId="0" applyFont="1" applyFill="1" applyBorder="1" applyAlignment="1">
      <alignment vertical="center"/>
    </xf>
    <xf numFmtId="14" fontId="17" fillId="0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1" fillId="8" borderId="2" xfId="0" applyFont="1" applyFill="1" applyBorder="1" applyAlignment="1">
      <alignment horizontal="center" vertical="center"/>
    </xf>
    <xf numFmtId="0" fontId="21" fillId="8" borderId="28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38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 wrapText="1"/>
    </xf>
    <xf numFmtId="0" fontId="5" fillId="5" borderId="39" xfId="0" applyFont="1" applyFill="1" applyBorder="1" applyAlignment="1">
      <alignment horizontal="center" vertical="center" wrapText="1"/>
    </xf>
    <xf numFmtId="0" fontId="5" fillId="7" borderId="40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36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5" fillId="0" borderId="33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13" fillId="8" borderId="30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13" fillId="8" borderId="45" xfId="0" applyFont="1" applyFill="1" applyBorder="1" applyAlignment="1">
      <alignment horizontal="left" vertical="center"/>
    </xf>
    <xf numFmtId="0" fontId="13" fillId="8" borderId="43" xfId="0" applyFont="1" applyFill="1" applyBorder="1" applyAlignment="1">
      <alignment horizontal="left" vertical="center"/>
    </xf>
    <xf numFmtId="0" fontId="19" fillId="8" borderId="41" xfId="0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19" fillId="8" borderId="44" xfId="0" applyFont="1" applyFill="1" applyBorder="1" applyAlignment="1">
      <alignment horizontal="center" vertical="center"/>
    </xf>
    <xf numFmtId="0" fontId="19" fillId="8" borderId="40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0" fontId="19" fillId="8" borderId="18" xfId="0" applyFont="1" applyFill="1" applyBorder="1" applyAlignment="1">
      <alignment horizontal="center" vertical="center"/>
    </xf>
    <xf numFmtId="0" fontId="19" fillId="8" borderId="31" xfId="0" applyFont="1" applyFill="1" applyBorder="1" applyAlignment="1">
      <alignment horizontal="center" vertical="center"/>
    </xf>
    <xf numFmtId="0" fontId="19" fillId="8" borderId="4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35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/>
    </xf>
    <xf numFmtId="0" fontId="17" fillId="0" borderId="38" xfId="0" applyFont="1" applyFill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/>
    </xf>
    <xf numFmtId="0" fontId="17" fillId="0" borderId="21" xfId="0" applyFont="1" applyFill="1" applyBorder="1" applyAlignment="1">
      <alignment horizontal="center" vertical="center"/>
    </xf>
    <xf numFmtId="0" fontId="21" fillId="8" borderId="39" xfId="0" applyFont="1" applyFill="1" applyBorder="1" applyAlignment="1">
      <alignment horizontal="center" vertical="center"/>
    </xf>
    <xf numFmtId="0" fontId="21" fillId="8" borderId="47" xfId="0" applyFont="1" applyFill="1" applyBorder="1" applyAlignment="1">
      <alignment horizontal="center" vertical="center"/>
    </xf>
    <xf numFmtId="0" fontId="13" fillId="8" borderId="40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42" xfId="0" applyFont="1" applyFill="1" applyBorder="1" applyAlignment="1">
      <alignment horizontal="center" vertical="center"/>
    </xf>
    <xf numFmtId="14" fontId="17" fillId="0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6"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ont>
        <color rgb="FFE7EEFA"/>
      </font>
    </dxf>
    <dxf>
      <fill>
        <patternFill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7EEFA"/>
      <color rgb="FFDE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Sprint Burndown</a:t>
            </a:r>
          </a:p>
        </c:rich>
      </c:tx>
      <c:layout>
        <c:manualLayout>
          <c:xMode val="edge"/>
          <c:yMode val="edge"/>
          <c:x val="0.3544930008748906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BurnDown'!$B$14:$B$28</c:f>
              <c:numCache>
                <c:formatCode>m/d/yyyy</c:formatCode>
                <c:ptCount val="15"/>
                <c:pt idx="0">
                  <c:v>44225</c:v>
                </c:pt>
                <c:pt idx="1">
                  <c:v>44226</c:v>
                </c:pt>
                <c:pt idx="2">
                  <c:v>44227</c:v>
                </c:pt>
                <c:pt idx="3">
                  <c:v>44228</c:v>
                </c:pt>
                <c:pt idx="4">
                  <c:v>44229</c:v>
                </c:pt>
                <c:pt idx="5">
                  <c:v>44230</c:v>
                </c:pt>
                <c:pt idx="6">
                  <c:v>44231</c:v>
                </c:pt>
                <c:pt idx="7">
                  <c:v>44232</c:v>
                </c:pt>
                <c:pt idx="8">
                  <c:v>44233</c:v>
                </c:pt>
                <c:pt idx="9">
                  <c:v>44234</c:v>
                </c:pt>
                <c:pt idx="10">
                  <c:v>44235</c:v>
                </c:pt>
                <c:pt idx="11">
                  <c:v>44236</c:v>
                </c:pt>
                <c:pt idx="12">
                  <c:v>44237</c:v>
                </c:pt>
                <c:pt idx="13">
                  <c:v>44238</c:v>
                </c:pt>
                <c:pt idx="14">
                  <c:v>44239</c:v>
                </c:pt>
              </c:numCache>
            </c:numRef>
          </c:cat>
          <c:val>
            <c:numRef>
              <c:f>'Sprint BurnDown'!$D$14:$D$28</c:f>
              <c:numCache>
                <c:formatCode>General</c:formatCode>
                <c:ptCount val="15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B-4408-93E2-4F1309E374C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BurnDown'!$B$14:$B$28</c:f>
              <c:numCache>
                <c:formatCode>m/d/yyyy</c:formatCode>
                <c:ptCount val="15"/>
                <c:pt idx="0">
                  <c:v>44225</c:v>
                </c:pt>
                <c:pt idx="1">
                  <c:v>44226</c:v>
                </c:pt>
                <c:pt idx="2">
                  <c:v>44227</c:v>
                </c:pt>
                <c:pt idx="3">
                  <c:v>44228</c:v>
                </c:pt>
                <c:pt idx="4">
                  <c:v>44229</c:v>
                </c:pt>
                <c:pt idx="5">
                  <c:v>44230</c:v>
                </c:pt>
                <c:pt idx="6">
                  <c:v>44231</c:v>
                </c:pt>
                <c:pt idx="7">
                  <c:v>44232</c:v>
                </c:pt>
                <c:pt idx="8">
                  <c:v>44233</c:v>
                </c:pt>
                <c:pt idx="9">
                  <c:v>44234</c:v>
                </c:pt>
                <c:pt idx="10">
                  <c:v>44235</c:v>
                </c:pt>
                <c:pt idx="11">
                  <c:v>44236</c:v>
                </c:pt>
                <c:pt idx="12">
                  <c:v>44237</c:v>
                </c:pt>
                <c:pt idx="13">
                  <c:v>44238</c:v>
                </c:pt>
                <c:pt idx="14">
                  <c:v>44239</c:v>
                </c:pt>
              </c:numCache>
            </c:numRef>
          </c:cat>
          <c:val>
            <c:numRef>
              <c:f>'Sprint BurnDown'!$E$14:$E$28</c:f>
              <c:numCache>
                <c:formatCode>General</c:formatCode>
                <c:ptCount val="15"/>
                <c:pt idx="0">
                  <c:v>15</c:v>
                </c:pt>
                <c:pt idx="1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4B-4408-93E2-4F1309E37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6942207"/>
        <c:axId val="1566933887"/>
      </c:lineChart>
      <c:dateAx>
        <c:axId val="15669422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66933887"/>
        <c:crosses val="autoZero"/>
        <c:auto val="1"/>
        <c:lblOffset val="100"/>
        <c:baseTimeUnit val="days"/>
      </c:dateAx>
      <c:valAx>
        <c:axId val="156693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66942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66398</xdr:colOff>
      <xdr:row>0</xdr:row>
      <xdr:rowOff>47348</xdr:rowOff>
    </xdr:from>
    <xdr:to>
      <xdr:col>1</xdr:col>
      <xdr:colOff>725798</xdr:colOff>
      <xdr:row>2</xdr:row>
      <xdr:rowOff>184674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D9AF0A-A6C9-4505-B1F1-C34E60FFB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98" y="47348"/>
          <a:ext cx="1421400" cy="613576"/>
        </a:xfrm>
        <a:prstGeom prst="rect">
          <a:avLst/>
        </a:prstGeom>
      </xdr:spPr>
    </xdr:pic>
    <xdr:clientData/>
  </xdr:twoCellAnchor>
  <xdr:twoCellAnchor editAs="oneCell">
    <xdr:from>
      <xdr:col>9</xdr:col>
      <xdr:colOff>159131</xdr:colOff>
      <xdr:row>0</xdr:row>
      <xdr:rowOff>0</xdr:rowOff>
    </xdr:from>
    <xdr:to>
      <xdr:col>11</xdr:col>
      <xdr:colOff>0</xdr:colOff>
      <xdr:row>2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D4396FF-5DC0-443C-B4D0-CA7126887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65231" y="0"/>
          <a:ext cx="1364869" cy="695325"/>
        </a:xfrm>
        <a:prstGeom prst="rect">
          <a:avLst/>
        </a:prstGeom>
      </xdr:spPr>
    </xdr:pic>
    <xdr:clientData/>
  </xdr:twoCellAnchor>
  <xdr:twoCellAnchor editAs="oneCell">
    <xdr:from>
      <xdr:col>7</xdr:col>
      <xdr:colOff>95802</xdr:colOff>
      <xdr:row>6</xdr:row>
      <xdr:rowOff>9247</xdr:rowOff>
    </xdr:from>
    <xdr:to>
      <xdr:col>9</xdr:col>
      <xdr:colOff>340033</xdr:colOff>
      <xdr:row>14</xdr:row>
      <xdr:rowOff>63032</xdr:rowOff>
    </xdr:to>
    <xdr:pic>
      <xdr:nvPicPr>
        <xdr:cNvPr id="4" name="Imagen 3" descr="Blog de un apóstol de Scrum y Kanban: ¿Las historias de usuario son  requisitos o requerimientos ágiles?">
          <a:extLst>
            <a:ext uri="{FF2B5EF4-FFF2-40B4-BE49-F238E27FC236}">
              <a16:creationId xmlns:a16="http://schemas.microsoft.com/office/drawing/2014/main" id="{B722CABD-612C-4822-B4C6-EA60273E271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7"/>
        <a:stretch/>
      </xdr:blipFill>
      <xdr:spPr bwMode="auto">
        <a:xfrm>
          <a:off x="9260147" y="1396383"/>
          <a:ext cx="1760833" cy="2125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653155</xdr:colOff>
      <xdr:row>10</xdr:row>
      <xdr:rowOff>194755</xdr:rowOff>
    </xdr:from>
    <xdr:to>
      <xdr:col>6</xdr:col>
      <xdr:colOff>104775</xdr:colOff>
      <xdr:row>12</xdr:row>
      <xdr:rowOff>180975</xdr:rowOff>
    </xdr:to>
    <xdr:sp macro="[0]!Limpi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11EF26-7CC2-4285-8FF4-AC96894725FF}"/>
            </a:ext>
          </a:extLst>
        </xdr:cNvPr>
        <xdr:cNvSpPr/>
      </xdr:nvSpPr>
      <xdr:spPr>
        <a:xfrm>
          <a:off x="7549255" y="2785555"/>
          <a:ext cx="975620" cy="405320"/>
        </a:xfrm>
        <a:prstGeom prst="roundRect">
          <a:avLst>
            <a:gd name="adj" fmla="val 2971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Limpiar</a:t>
          </a:r>
        </a:p>
      </xdr:txBody>
    </xdr:sp>
    <xdr:clientData/>
  </xdr:twoCellAnchor>
  <xdr:twoCellAnchor>
    <xdr:from>
      <xdr:col>4</xdr:col>
      <xdr:colOff>657594</xdr:colOff>
      <xdr:row>13</xdr:row>
      <xdr:rowOff>91090</xdr:rowOff>
    </xdr:from>
    <xdr:to>
      <xdr:col>6</xdr:col>
      <xdr:colOff>103850</xdr:colOff>
      <xdr:row>15</xdr:row>
      <xdr:rowOff>72593</xdr:rowOff>
    </xdr:to>
    <xdr:sp macro="[0]!Guarda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54985E6-A596-4D08-B83D-3044F604156D}"/>
            </a:ext>
          </a:extLst>
        </xdr:cNvPr>
        <xdr:cNvSpPr/>
      </xdr:nvSpPr>
      <xdr:spPr>
        <a:xfrm>
          <a:off x="7553694" y="3301015"/>
          <a:ext cx="970256" cy="400603"/>
        </a:xfrm>
        <a:prstGeom prst="roundRect">
          <a:avLst>
            <a:gd name="adj" fmla="val 2971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100">
              <a:solidFill>
                <a:schemeClr val="lt1"/>
              </a:solidFill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Guardar</a:t>
          </a:r>
        </a:p>
      </xdr:txBody>
    </xdr:sp>
    <xdr:clientData/>
  </xdr:twoCellAnchor>
  <xdr:twoCellAnchor>
    <xdr:from>
      <xdr:col>4</xdr:col>
      <xdr:colOff>732593</xdr:colOff>
      <xdr:row>6</xdr:row>
      <xdr:rowOff>186061</xdr:rowOff>
    </xdr:from>
    <xdr:to>
      <xdr:col>5</xdr:col>
      <xdr:colOff>694493</xdr:colOff>
      <xdr:row>7</xdr:row>
      <xdr:rowOff>584262</xdr:rowOff>
    </xdr:to>
    <xdr:sp macro="[0]!Ir_a_ProductBacklog" textlink="">
      <xdr:nvSpPr>
        <xdr:cNvPr id="7" name="Flecha: a la derecha 6">
          <a:extLst>
            <a:ext uri="{FF2B5EF4-FFF2-40B4-BE49-F238E27FC236}">
              <a16:creationId xmlns:a16="http://schemas.microsoft.com/office/drawing/2014/main" id="{8DBFF4B8-BCA1-4E7B-9300-E708AD05439A}"/>
            </a:ext>
          </a:extLst>
        </xdr:cNvPr>
        <xdr:cNvSpPr/>
      </xdr:nvSpPr>
      <xdr:spPr>
        <a:xfrm>
          <a:off x="7628693" y="1567186"/>
          <a:ext cx="723900" cy="598226"/>
        </a:xfrm>
        <a:prstGeom prst="rightArrow">
          <a:avLst>
            <a:gd name="adj1" fmla="val 57018"/>
            <a:gd name="adj2" fmla="val 57017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9</xdr:col>
      <xdr:colOff>684320</xdr:colOff>
      <xdr:row>3</xdr:row>
      <xdr:rowOff>73980</xdr:rowOff>
    </xdr:from>
    <xdr:to>
      <xdr:col>11</xdr:col>
      <xdr:colOff>0</xdr:colOff>
      <xdr:row>7</xdr:row>
      <xdr:rowOff>342161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891655A-D501-4914-8BC2-97F247B93F51}"/>
            </a:ext>
          </a:extLst>
        </xdr:cNvPr>
        <xdr:cNvSpPr/>
      </xdr:nvSpPr>
      <xdr:spPr>
        <a:xfrm>
          <a:off x="11390420" y="788355"/>
          <a:ext cx="839680" cy="1134956"/>
        </a:xfrm>
        <a:prstGeom prst="rect">
          <a:avLst/>
        </a:prstGeom>
        <a:solidFill>
          <a:srgbClr val="E7EEFA"/>
        </a:solidFill>
        <a:ln>
          <a:solidFill>
            <a:srgbClr val="E7EE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75646</xdr:colOff>
      <xdr:row>0</xdr:row>
      <xdr:rowOff>47348</xdr:rowOff>
    </xdr:from>
    <xdr:to>
      <xdr:col>3</xdr:col>
      <xdr:colOff>133954</xdr:colOff>
      <xdr:row>2</xdr:row>
      <xdr:rowOff>184674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185E5D3-838B-48E2-A37B-F0D58DB0B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46" y="47348"/>
          <a:ext cx="1417701" cy="618200"/>
        </a:xfrm>
        <a:prstGeom prst="rect">
          <a:avLst/>
        </a:prstGeom>
      </xdr:spPr>
    </xdr:pic>
    <xdr:clientData/>
  </xdr:twoCellAnchor>
  <xdr:twoCellAnchor editAs="oneCell">
    <xdr:from>
      <xdr:col>9</xdr:col>
      <xdr:colOff>824958</xdr:colOff>
      <xdr:row>0</xdr:row>
      <xdr:rowOff>0</xdr:rowOff>
    </xdr:from>
    <xdr:to>
      <xdr:col>12</xdr:col>
      <xdr:colOff>0</xdr:colOff>
      <xdr:row>2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1668DC6-69A9-454C-9E62-30E4859AF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27846" y="0"/>
          <a:ext cx="1357470" cy="699949"/>
        </a:xfrm>
        <a:prstGeom prst="rect">
          <a:avLst/>
        </a:prstGeom>
      </xdr:spPr>
    </xdr:pic>
    <xdr:clientData/>
  </xdr:twoCellAnchor>
  <xdr:twoCellAnchor>
    <xdr:from>
      <xdr:col>10</xdr:col>
      <xdr:colOff>110969</xdr:colOff>
      <xdr:row>3</xdr:row>
      <xdr:rowOff>138713</xdr:rowOff>
    </xdr:from>
    <xdr:to>
      <xdr:col>10</xdr:col>
      <xdr:colOff>804538</xdr:colOff>
      <xdr:row>6</xdr:row>
      <xdr:rowOff>18494</xdr:rowOff>
    </xdr:to>
    <xdr:sp macro="[0]!Ir_a_Registro" textlink="">
      <xdr:nvSpPr>
        <xdr:cNvPr id="9" name="Flecha: a la derecha 8">
          <a:extLst>
            <a:ext uri="{FF2B5EF4-FFF2-40B4-BE49-F238E27FC236}">
              <a16:creationId xmlns:a16="http://schemas.microsoft.com/office/drawing/2014/main" id="{4AA4AF8F-7F31-4CE4-AFE9-78DD07F0F8D9}"/>
            </a:ext>
          </a:extLst>
        </xdr:cNvPr>
        <xdr:cNvSpPr/>
      </xdr:nvSpPr>
      <xdr:spPr>
        <a:xfrm rot="10800000">
          <a:off x="12031090" y="860024"/>
          <a:ext cx="693569" cy="656577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66398</xdr:colOff>
      <xdr:row>0</xdr:row>
      <xdr:rowOff>47347</xdr:rowOff>
    </xdr:from>
    <xdr:to>
      <xdr:col>2</xdr:col>
      <xdr:colOff>346648</xdr:colOff>
      <xdr:row>2</xdr:row>
      <xdr:rowOff>184673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D9E051-84E8-44D2-A871-F3A204492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98" y="47347"/>
          <a:ext cx="1417701" cy="61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159132</xdr:colOff>
      <xdr:row>0</xdr:row>
      <xdr:rowOff>0</xdr:rowOff>
    </xdr:from>
    <xdr:to>
      <xdr:col>10</xdr:col>
      <xdr:colOff>0</xdr:colOff>
      <xdr:row>2</xdr:row>
      <xdr:rowOff>219075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310C748-4C1D-43B1-A012-E0E7D6F3E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56850" y="0"/>
          <a:ext cx="1357470" cy="699949"/>
        </a:xfrm>
        <a:prstGeom prst="rect">
          <a:avLst/>
        </a:prstGeom>
      </xdr:spPr>
    </xdr:pic>
    <xdr:clientData/>
  </xdr:twoCellAnchor>
  <xdr:oneCellAnchor>
    <xdr:from>
      <xdr:col>2</xdr:col>
      <xdr:colOff>115005</xdr:colOff>
      <xdr:row>8</xdr:row>
      <xdr:rowOff>123119</xdr:rowOff>
    </xdr:from>
    <xdr:ext cx="304095" cy="273038"/>
    <xdr:pic>
      <xdr:nvPicPr>
        <xdr:cNvPr id="24" name="Imagen 23" descr="Id, document, empty page Free Icon of Wondicon">
          <a:extLst>
            <a:ext uri="{FF2B5EF4-FFF2-40B4-BE49-F238E27FC236}">
              <a16:creationId xmlns:a16="http://schemas.microsoft.com/office/drawing/2014/main" id="{204E3304-9726-414C-B4FF-292CB69A5FC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rgbClr val="5B9BD5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>
                      <a14:foregroundMark x1="50222" y1="43111" x2="50222" y2="43111"/>
                      <a14:foregroundMark x1="68444" y1="38222" x2="68444" y2="38222"/>
                      <a14:foregroundMark x1="63556" y1="55556" x2="63556" y2="55556"/>
                      <a14:foregroundMark x1="73333" y1="59556" x2="73333" y2="59556"/>
                      <a14:backgroundMark x1="36000" y1="18222" x2="36000" y2="18222"/>
                      <a14:backgroundMark x1="41333" y1="17778" x2="41333" y2="17778"/>
                      <a14:backgroundMark x1="51111" y1="13333" x2="51111" y2="13333"/>
                      <a14:backgroundMark x1="59556" y1="15111" x2="59556" y2="15111"/>
                      <a14:backgroundMark x1="62222" y1="22667" x2="62222" y2="22667"/>
                      <a14:backgroundMark x1="62222" y1="26667" x2="62222" y2="26667"/>
                      <a14:backgroundMark x1="62222" y1="26667" x2="62222" y2="26667"/>
                      <a14:backgroundMark x1="18222" y1="30667" x2="14667" y2="81778"/>
                      <a14:backgroundMark x1="18222" y1="84889" x2="18222" y2="84889"/>
                      <a14:backgroundMark x1="37778" y1="85778" x2="37778" y2="85778"/>
                      <a14:backgroundMark x1="44000" y1="85778" x2="44000" y2="85778"/>
                      <a14:backgroundMark x1="41333" y1="85333" x2="56889" y2="85333"/>
                      <a14:backgroundMark x1="21333" y1="85333" x2="21333" y2="85333"/>
                      <a14:backgroundMark x1="28000" y1="85333" x2="28000" y2="85333"/>
                      <a14:backgroundMark x1="28000" y1="85333" x2="28000" y2="85333"/>
                      <a14:backgroundMark x1="62222" y1="84000" x2="62222" y2="84000"/>
                      <a14:backgroundMark x1="57778" y1="16000" x2="57778" y2="16000"/>
                      <a14:backgroundMark x1="62222" y1="29778" x2="62222" y2="29778"/>
                      <a14:backgroundMark x1="62222" y1="80889" x2="62222" y2="80889"/>
                      <a14:backgroundMark x1="61778" y1="33333" x2="61778" y2="33333"/>
                      <a14:backgroundMark x1="61778" y1="34222" x2="61778" y2="34222"/>
                      <a14:backgroundMark x1="61778" y1="79111" x2="61778" y2="79111"/>
                      <a14:backgroundMark x1="61778" y1="78222" x2="61778" y2="7822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3293" t="35538" r="10670" b="23106"/>
        <a:stretch/>
      </xdr:blipFill>
      <xdr:spPr bwMode="auto">
        <a:xfrm>
          <a:off x="1258005" y="694619"/>
          <a:ext cx="304095" cy="273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152677</xdr:colOff>
      <xdr:row>10</xdr:row>
      <xdr:rowOff>19050</xdr:rowOff>
    </xdr:from>
    <xdr:ext cx="238126" cy="238126"/>
    <xdr:pic>
      <xdr:nvPicPr>
        <xdr:cNvPr id="25" name="Imagen 24" descr="Time, clock icon - Free download on Iconfinder">
          <a:extLst>
            <a:ext uri="{FF2B5EF4-FFF2-40B4-BE49-F238E27FC236}">
              <a16:creationId xmlns:a16="http://schemas.microsoft.com/office/drawing/2014/main" id="{6FC5BAF4-2049-47CF-823E-C292447A4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0128" y="2229220"/>
          <a:ext cx="238126" cy="238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115005</xdr:colOff>
      <xdr:row>8</xdr:row>
      <xdr:rowOff>123119</xdr:rowOff>
    </xdr:from>
    <xdr:ext cx="304095" cy="273038"/>
    <xdr:pic>
      <xdr:nvPicPr>
        <xdr:cNvPr id="30" name="Imagen 29" descr="Id, document, empty page Free Icon of Wondicon">
          <a:extLst>
            <a:ext uri="{FF2B5EF4-FFF2-40B4-BE49-F238E27FC236}">
              <a16:creationId xmlns:a16="http://schemas.microsoft.com/office/drawing/2014/main" id="{D37E10FC-0409-476E-BAE8-63514DD5892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rgbClr val="5B9BD5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>
                      <a14:foregroundMark x1="50222" y1="43111" x2="50222" y2="43111"/>
                      <a14:foregroundMark x1="68444" y1="38222" x2="68444" y2="38222"/>
                      <a14:foregroundMark x1="63556" y1="55556" x2="63556" y2="55556"/>
                      <a14:foregroundMark x1="73333" y1="59556" x2="73333" y2="59556"/>
                      <a14:backgroundMark x1="36000" y1="18222" x2="36000" y2="18222"/>
                      <a14:backgroundMark x1="41333" y1="17778" x2="41333" y2="17778"/>
                      <a14:backgroundMark x1="51111" y1="13333" x2="51111" y2="13333"/>
                      <a14:backgroundMark x1="59556" y1="15111" x2="59556" y2="15111"/>
                      <a14:backgroundMark x1="62222" y1="22667" x2="62222" y2="22667"/>
                      <a14:backgroundMark x1="62222" y1="26667" x2="62222" y2="26667"/>
                      <a14:backgroundMark x1="62222" y1="26667" x2="62222" y2="26667"/>
                      <a14:backgroundMark x1="18222" y1="30667" x2="14667" y2="81778"/>
                      <a14:backgroundMark x1="18222" y1="84889" x2="18222" y2="84889"/>
                      <a14:backgroundMark x1="37778" y1="85778" x2="37778" y2="85778"/>
                      <a14:backgroundMark x1="44000" y1="85778" x2="44000" y2="85778"/>
                      <a14:backgroundMark x1="41333" y1="85333" x2="56889" y2="85333"/>
                      <a14:backgroundMark x1="21333" y1="85333" x2="21333" y2="85333"/>
                      <a14:backgroundMark x1="28000" y1="85333" x2="28000" y2="85333"/>
                      <a14:backgroundMark x1="28000" y1="85333" x2="28000" y2="85333"/>
                      <a14:backgroundMark x1="62222" y1="84000" x2="62222" y2="84000"/>
                      <a14:backgroundMark x1="57778" y1="16000" x2="57778" y2="16000"/>
                      <a14:backgroundMark x1="62222" y1="29778" x2="62222" y2="29778"/>
                      <a14:backgroundMark x1="62222" y1="80889" x2="62222" y2="80889"/>
                      <a14:backgroundMark x1="61778" y1="33333" x2="61778" y2="33333"/>
                      <a14:backgroundMark x1="61778" y1="34222" x2="61778" y2="34222"/>
                      <a14:backgroundMark x1="61778" y1="79111" x2="61778" y2="79111"/>
                      <a14:backgroundMark x1="61778" y1="78222" x2="61778" y2="7822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3293" t="35538" r="10670" b="23106"/>
        <a:stretch/>
      </xdr:blipFill>
      <xdr:spPr bwMode="auto">
        <a:xfrm>
          <a:off x="1258005" y="694619"/>
          <a:ext cx="304095" cy="273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</xdr:col>
      <xdr:colOff>101723</xdr:colOff>
      <xdr:row>11</xdr:row>
      <xdr:rowOff>120219</xdr:rowOff>
    </xdr:from>
    <xdr:to>
      <xdr:col>2</xdr:col>
      <xdr:colOff>480873</xdr:colOff>
      <xdr:row>12</xdr:row>
      <xdr:rowOff>189977</xdr:rowOff>
    </xdr:to>
    <xdr:pic>
      <xdr:nvPicPr>
        <xdr:cNvPr id="32" name="Imagen 31" descr="sprints | Atlassian">
          <a:extLst>
            <a:ext uri="{FF2B5EF4-FFF2-40B4-BE49-F238E27FC236}">
              <a16:creationId xmlns:a16="http://schemas.microsoft.com/office/drawing/2014/main" id="{F5DB827B-77D3-420A-B026-B309B789A6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91" t="8639" r="24301" b="2176"/>
        <a:stretch/>
      </xdr:blipFill>
      <xdr:spPr bwMode="auto">
        <a:xfrm>
          <a:off x="1239174" y="2598569"/>
          <a:ext cx="379150" cy="337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184949</xdr:colOff>
      <xdr:row>11</xdr:row>
      <xdr:rowOff>166457</xdr:rowOff>
    </xdr:from>
    <xdr:to>
      <xdr:col>8</xdr:col>
      <xdr:colOff>712061</xdr:colOff>
      <xdr:row>12</xdr:row>
      <xdr:rowOff>249686</xdr:rowOff>
    </xdr:to>
    <xdr:sp macro="[0]!Agrega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A1CC5ADF-4860-44A9-BA6A-8811DE4EB2BF}"/>
            </a:ext>
          </a:extLst>
        </xdr:cNvPr>
        <xdr:cNvSpPr/>
      </xdr:nvSpPr>
      <xdr:spPr>
        <a:xfrm>
          <a:off x="10366527" y="3033205"/>
          <a:ext cx="1026481" cy="35140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latin typeface="Segoe UI Historic" panose="020B0502040204020203" pitchFamily="34" charset="0"/>
              <a:ea typeface="Segoe UI Historic" panose="020B0502040204020203" pitchFamily="34" charset="0"/>
              <a:cs typeface="Segoe UI Historic" panose="020B0502040204020203" pitchFamily="34" charset="0"/>
            </a:rPr>
            <a:t>Agregar</a:t>
          </a:r>
        </a:p>
      </xdr:txBody>
    </xdr:sp>
    <xdr:clientData/>
  </xdr:twoCellAnchor>
  <xdr:twoCellAnchor>
    <xdr:from>
      <xdr:col>8</xdr:col>
      <xdr:colOff>675073</xdr:colOff>
      <xdr:row>6</xdr:row>
      <xdr:rowOff>73981</xdr:rowOff>
    </xdr:from>
    <xdr:to>
      <xdr:col>9</xdr:col>
      <xdr:colOff>749054</xdr:colOff>
      <xdr:row>10</xdr:row>
      <xdr:rowOff>240439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AFFA2295-0975-4883-89D1-3D1967D7A252}"/>
            </a:ext>
          </a:extLst>
        </xdr:cNvPr>
        <xdr:cNvSpPr/>
      </xdr:nvSpPr>
      <xdr:spPr>
        <a:xfrm>
          <a:off x="11356020" y="1553593"/>
          <a:ext cx="832282" cy="1285414"/>
        </a:xfrm>
        <a:prstGeom prst="rect">
          <a:avLst/>
        </a:prstGeom>
        <a:solidFill>
          <a:srgbClr val="E7EEFA"/>
        </a:solidFill>
        <a:ln>
          <a:solidFill>
            <a:srgbClr val="E7EE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0</xdr:col>
      <xdr:colOff>268179</xdr:colOff>
      <xdr:row>8</xdr:row>
      <xdr:rowOff>23056</xdr:rowOff>
    </xdr:from>
    <xdr:to>
      <xdr:col>0</xdr:col>
      <xdr:colOff>723622</xdr:colOff>
      <xdr:row>9</xdr:row>
      <xdr:rowOff>212695</xdr:rowOff>
    </xdr:to>
    <xdr:pic>
      <xdr:nvPicPr>
        <xdr:cNvPr id="64" name="Imagen 63" descr="Icono Flecha, flechas, back, dirección, izquierda, navegación, derecha  Gratis de Mobile Basic Vol. 1">
          <a:extLst>
            <a:ext uri="{FF2B5EF4-FFF2-40B4-BE49-F238E27FC236}">
              <a16:creationId xmlns:a16="http://schemas.microsoft.com/office/drawing/2014/main" id="{ADDE8F2F-F50B-4A13-AFDC-50AF02B1C8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179" y="2085265"/>
          <a:ext cx="455443" cy="457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66398</xdr:colOff>
      <xdr:row>0</xdr:row>
      <xdr:rowOff>47347</xdr:rowOff>
    </xdr:from>
    <xdr:to>
      <xdr:col>1</xdr:col>
      <xdr:colOff>725798</xdr:colOff>
      <xdr:row>2</xdr:row>
      <xdr:rowOff>184673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C0E8F23-AA7B-4CD0-B1B9-BF47DC63E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98" y="47347"/>
          <a:ext cx="1423250" cy="613576"/>
        </a:xfrm>
        <a:prstGeom prst="rect">
          <a:avLst/>
        </a:prstGeom>
      </xdr:spPr>
    </xdr:pic>
    <xdr:clientData/>
  </xdr:twoCellAnchor>
  <xdr:twoCellAnchor editAs="oneCell">
    <xdr:from>
      <xdr:col>8</xdr:col>
      <xdr:colOff>159131</xdr:colOff>
      <xdr:row>0</xdr:row>
      <xdr:rowOff>0</xdr:rowOff>
    </xdr:from>
    <xdr:to>
      <xdr:col>9</xdr:col>
      <xdr:colOff>758300</xdr:colOff>
      <xdr:row>2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4A700C6-577F-478D-9FA0-B88D2AC99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86947" y="0"/>
          <a:ext cx="1357470" cy="699949"/>
        </a:xfrm>
        <a:prstGeom prst="rect">
          <a:avLst/>
        </a:prstGeom>
      </xdr:spPr>
    </xdr:pic>
    <xdr:clientData/>
  </xdr:twoCellAnchor>
  <xdr:twoCellAnchor>
    <xdr:from>
      <xdr:col>8</xdr:col>
      <xdr:colOff>684320</xdr:colOff>
      <xdr:row>3</xdr:row>
      <xdr:rowOff>55485</xdr:rowOff>
    </xdr:from>
    <xdr:to>
      <xdr:col>10</xdr:col>
      <xdr:colOff>0</xdr:colOff>
      <xdr:row>12</xdr:row>
      <xdr:rowOff>147962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F99AE529-F0F2-4A82-AA6A-E57926C43FF9}"/>
            </a:ext>
          </a:extLst>
        </xdr:cNvPr>
        <xdr:cNvSpPr/>
      </xdr:nvSpPr>
      <xdr:spPr>
        <a:xfrm>
          <a:off x="11245048" y="776796"/>
          <a:ext cx="832282" cy="1285414"/>
        </a:xfrm>
        <a:prstGeom prst="rect">
          <a:avLst/>
        </a:prstGeom>
        <a:solidFill>
          <a:srgbClr val="E7EEFA"/>
        </a:solidFill>
        <a:ln>
          <a:solidFill>
            <a:srgbClr val="E7EE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66398</xdr:colOff>
      <xdr:row>0</xdr:row>
      <xdr:rowOff>47347</xdr:rowOff>
    </xdr:from>
    <xdr:to>
      <xdr:col>2</xdr:col>
      <xdr:colOff>133953</xdr:colOff>
      <xdr:row>2</xdr:row>
      <xdr:rowOff>184673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E532852-F570-4BCC-8182-B8EB2A6EB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98" y="47347"/>
          <a:ext cx="1423250" cy="613576"/>
        </a:xfrm>
        <a:prstGeom prst="rect">
          <a:avLst/>
        </a:prstGeom>
      </xdr:spPr>
    </xdr:pic>
    <xdr:clientData/>
  </xdr:twoCellAnchor>
  <xdr:twoCellAnchor editAs="oneCell">
    <xdr:from>
      <xdr:col>14</xdr:col>
      <xdr:colOff>399569</xdr:colOff>
      <xdr:row>0</xdr:row>
      <xdr:rowOff>0</xdr:rowOff>
    </xdr:from>
    <xdr:to>
      <xdr:col>16</xdr:col>
      <xdr:colOff>0</xdr:colOff>
      <xdr:row>2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CCB0C23-D8A0-424B-A8E8-B84526AE2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03088" y="0"/>
          <a:ext cx="1357470" cy="699949"/>
        </a:xfrm>
        <a:prstGeom prst="rect">
          <a:avLst/>
        </a:prstGeom>
      </xdr:spPr>
    </xdr:pic>
    <xdr:clientData/>
  </xdr:twoCellAnchor>
  <xdr:twoCellAnchor>
    <xdr:from>
      <xdr:col>6</xdr:col>
      <xdr:colOff>369903</xdr:colOff>
      <xdr:row>4</xdr:row>
      <xdr:rowOff>175703</xdr:rowOff>
    </xdr:from>
    <xdr:to>
      <xdr:col>8</xdr:col>
      <xdr:colOff>305170</xdr:colOff>
      <xdr:row>6</xdr:row>
      <xdr:rowOff>9247</xdr:rowOff>
    </xdr:to>
    <xdr:sp macro="[0]!Actualizar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6B2F531-3FB5-4D47-8ED4-D556BDC16FE4}"/>
            </a:ext>
          </a:extLst>
        </xdr:cNvPr>
        <xdr:cNvSpPr/>
      </xdr:nvSpPr>
      <xdr:spPr>
        <a:xfrm>
          <a:off x="4864223" y="1091213"/>
          <a:ext cx="1433374" cy="35140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Actualizar</a:t>
          </a:r>
          <a:r>
            <a:rPr lang="es-CO" sz="1100" baseline="0"/>
            <a:t> Estado</a:t>
          </a:r>
          <a:endParaRPr lang="es-CO" sz="1100"/>
        </a:p>
      </xdr:txBody>
    </xdr:sp>
    <xdr:clientData/>
  </xdr:twoCellAnchor>
  <xdr:twoCellAnchor editAs="oneCell">
    <xdr:from>
      <xdr:col>9</xdr:col>
      <xdr:colOff>128280</xdr:colOff>
      <xdr:row>5</xdr:row>
      <xdr:rowOff>260120</xdr:rowOff>
    </xdr:from>
    <xdr:to>
      <xdr:col>9</xdr:col>
      <xdr:colOff>586098</xdr:colOff>
      <xdr:row>8</xdr:row>
      <xdr:rowOff>3500</xdr:rowOff>
    </xdr:to>
    <xdr:pic>
      <xdr:nvPicPr>
        <xdr:cNvPr id="11" name="Imagen 10" descr="Icono Flecha, flechas, back, dirección, izquierda, navegación, derecha  Gratis de Mobile Basic Vol. 1">
          <a:extLst>
            <a:ext uri="{FF2B5EF4-FFF2-40B4-BE49-F238E27FC236}">
              <a16:creationId xmlns:a16="http://schemas.microsoft.com/office/drawing/2014/main" id="{52C20925-7C41-4704-86C8-D8EB354E6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787719" y="1368642"/>
          <a:ext cx="455443" cy="457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66398</xdr:colOff>
      <xdr:row>0</xdr:row>
      <xdr:rowOff>47347</xdr:rowOff>
    </xdr:from>
    <xdr:to>
      <xdr:col>1</xdr:col>
      <xdr:colOff>725798</xdr:colOff>
      <xdr:row>2</xdr:row>
      <xdr:rowOff>184673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C11DB99-37C6-4253-9910-603385E12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98" y="47347"/>
          <a:ext cx="1421400" cy="613576"/>
        </a:xfrm>
        <a:prstGeom prst="rect">
          <a:avLst/>
        </a:prstGeom>
      </xdr:spPr>
    </xdr:pic>
    <xdr:clientData/>
  </xdr:twoCellAnchor>
  <xdr:twoCellAnchor editAs="oneCell">
    <xdr:from>
      <xdr:col>12</xdr:col>
      <xdr:colOff>168378</xdr:colOff>
      <xdr:row>0</xdr:row>
      <xdr:rowOff>0</xdr:rowOff>
    </xdr:from>
    <xdr:to>
      <xdr:col>14</xdr:col>
      <xdr:colOff>0</xdr:colOff>
      <xdr:row>2</xdr:row>
      <xdr:rowOff>219075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E247A40-1128-4FE0-9455-8D528395E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90393" y="0"/>
          <a:ext cx="1348224" cy="699949"/>
        </a:xfrm>
        <a:prstGeom prst="rect">
          <a:avLst/>
        </a:prstGeom>
      </xdr:spPr>
    </xdr:pic>
    <xdr:clientData/>
  </xdr:twoCellAnchor>
  <xdr:twoCellAnchor>
    <xdr:from>
      <xdr:col>8</xdr:col>
      <xdr:colOff>684320</xdr:colOff>
      <xdr:row>3</xdr:row>
      <xdr:rowOff>55485</xdr:rowOff>
    </xdr:from>
    <xdr:to>
      <xdr:col>10</xdr:col>
      <xdr:colOff>0</xdr:colOff>
      <xdr:row>4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1AA5DD6-2DA0-4A8E-A609-E913D5FD79A7}"/>
            </a:ext>
          </a:extLst>
        </xdr:cNvPr>
        <xdr:cNvSpPr/>
      </xdr:nvSpPr>
      <xdr:spPr>
        <a:xfrm>
          <a:off x="11247545" y="769860"/>
          <a:ext cx="839680" cy="1273577"/>
        </a:xfrm>
        <a:prstGeom prst="rect">
          <a:avLst/>
        </a:prstGeom>
        <a:solidFill>
          <a:srgbClr val="E7EEFA"/>
        </a:solidFill>
        <a:ln>
          <a:solidFill>
            <a:srgbClr val="E7EE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3</xdr:col>
      <xdr:colOff>28929</xdr:colOff>
      <xdr:row>6</xdr:row>
      <xdr:rowOff>174517</xdr:rowOff>
    </xdr:from>
    <xdr:to>
      <xdr:col>3</xdr:col>
      <xdr:colOff>484372</xdr:colOff>
      <xdr:row>8</xdr:row>
      <xdr:rowOff>49738</xdr:rowOff>
    </xdr:to>
    <xdr:pic>
      <xdr:nvPicPr>
        <xdr:cNvPr id="5" name="Imagen 4" descr="Icono Flecha, flechas, back, dirección, izquierda, navegación, derecha  Gratis de Mobile Basic Vol. 1">
          <a:extLst>
            <a:ext uri="{FF2B5EF4-FFF2-40B4-BE49-F238E27FC236}">
              <a16:creationId xmlns:a16="http://schemas.microsoft.com/office/drawing/2014/main" id="{99803D1C-98C6-42F4-9B71-D639E94F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2303832" y="1561653"/>
          <a:ext cx="455443" cy="457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192349</xdr:colOff>
      <xdr:row>12</xdr:row>
      <xdr:rowOff>20159</xdr:rowOff>
    </xdr:from>
    <xdr:to>
      <xdr:col>11</xdr:col>
      <xdr:colOff>741655</xdr:colOff>
      <xdr:row>24</xdr:row>
      <xdr:rowOff>100058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D6FD39F-D42E-4F05-ACBB-8103FB013A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FE38A5-DB9F-4511-A13C-C453E03E0F9C}" name="Tabla8" displayName="Tabla8" ref="B8:K13" totalsRowCount="1" headerRowDxfId="45" dataDxfId="44" tableBorderDxfId="43">
  <autoFilter ref="B8:K12" xr:uid="{A6DBEED2-FB84-4518-AD93-140F402D9698}"/>
  <sortState xmlns:xlrd2="http://schemas.microsoft.com/office/spreadsheetml/2017/richdata2" ref="B9:K12">
    <sortCondition descending="1" ref="J8:J12"/>
  </sortState>
  <tableColumns count="10">
    <tableColumn id="1" xr3:uid="{E3F1DC46-83BE-402F-B0D7-0EFE8AF9130B}" name="ID" totalsRowLabel="Total" dataDxfId="42" totalsRowDxfId="41"/>
    <tableColumn id="2" xr3:uid="{66B91CCC-216C-45C2-A72D-670EE78F6EB7}" name="COMO" dataDxfId="40" totalsRowDxfId="39"/>
    <tableColumn id="3" xr3:uid="{B4D8D7BD-FCB5-4D8C-BE2E-DA02B5590960}" name="[USUARIO]" dataDxfId="38" totalsRowDxfId="37"/>
    <tableColumn id="4" xr3:uid="{B721EA4D-7B3A-4C52-926C-C2F0322A6790}" name="QUIERO" dataDxfId="36" totalsRowDxfId="35"/>
    <tableColumn id="5" xr3:uid="{DDF4F64C-7854-4D82-8499-7BDEE7DC651A}" name="[OBJETIVO]" dataDxfId="34" totalsRowDxfId="33"/>
    <tableColumn id="6" xr3:uid="{D4B964CC-E5C5-4F66-9374-720293B5A2E9}" name="PARA" dataDxfId="32" totalsRowDxfId="31"/>
    <tableColumn id="7" xr3:uid="{FF92B3EB-32FC-4297-A445-D0C6A3C6D423}" name="[BENEFICIO]" dataDxfId="30" totalsRowDxfId="29"/>
    <tableColumn id="8" xr3:uid="{31955638-B9E0-4C0B-9982-4E7C84D8CD10}" name="ESTIMACIÓN" totalsRowFunction="sum" dataDxfId="28" totalsRowDxfId="27"/>
    <tableColumn id="9" xr3:uid="{F316972E-094B-43F1-A735-9D0D64F89B41}" name="PRIORIDAD" dataDxfId="26" totalsRowDxfId="25"/>
    <tableColumn id="10" xr3:uid="{9AAC4121-23C6-4CAF-8D81-0C74C6B6B383}" name="SPRINT" dataDxfId="24" totalsRow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3FB577-11C8-4F67-A1E4-6D2C921AB435}" name="Tabla9" displayName="Tabla9" ref="B8:G12" totalsRowShown="0" headerRowDxfId="21" dataDxfId="20">
  <autoFilter ref="B8:G12" xr:uid="{DDB80173-6D95-4F73-9C13-BEB7B99E624C}"/>
  <tableColumns count="6">
    <tableColumn id="1" xr3:uid="{191A3BA2-2E51-4137-8D8F-A7E410227CFF}" name="ID" dataDxfId="19"/>
    <tableColumn id="2" xr3:uid="{5EF5E729-114E-4A7A-957D-5F5506C41987}" name="TAREA" dataDxfId="18"/>
    <tableColumn id="3" xr3:uid="{5F142003-2011-4E33-8B5E-01D4F128CE97}" name="ID_H.U" dataDxfId="17"/>
    <tableColumn id="4" xr3:uid="{1C749CFA-1DF4-4C5F-8D67-22ABB6FA7B00}" name="ENCARGADO" dataDxfId="16"/>
    <tableColumn id="5" xr3:uid="{A4A5A0D4-1450-44C9-B4FF-2C655F03DD69}" name="ESTADO" dataDxfId="15"/>
    <tableColumn id="6" xr3:uid="{4E9792DC-6E4B-4D58-A6B9-3F7CA749B3B8}" name="SPRINT" dataDxfId="1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01909-C4C2-4781-A994-BA39CF68991C}">
  <sheetPr codeName="Hoja3"/>
  <dimension ref="A1:P16"/>
  <sheetViews>
    <sheetView showGridLines="0" tabSelected="1" zoomScale="103" zoomScaleNormal="103" workbookViewId="0">
      <selection activeCell="D16" sqref="D16"/>
    </sheetView>
  </sheetViews>
  <sheetFormatPr baseColWidth="10" defaultColWidth="0" defaultRowHeight="15" x14ac:dyDescent="0.25"/>
  <cols>
    <col min="1" max="1" width="11.42578125" customWidth="1"/>
    <col min="2" max="2" width="16.140625" customWidth="1"/>
    <col min="3" max="3" width="7.28515625" customWidth="1"/>
    <col min="4" max="4" width="68.5703125" customWidth="1"/>
    <col min="5" max="11" width="11.42578125" customWidth="1"/>
    <col min="12" max="16" width="0" hidden="1" customWidth="1"/>
    <col min="17" max="16384" width="11.42578125" hidden="1"/>
  </cols>
  <sheetData>
    <row r="1" spans="1:11" ht="18.75" customHeight="1" x14ac:dyDescent="0.25">
      <c r="A1" s="1"/>
      <c r="B1" s="2"/>
      <c r="C1" s="104" t="s">
        <v>16</v>
      </c>
      <c r="D1" s="104"/>
      <c r="E1" s="104"/>
      <c r="F1" s="104"/>
      <c r="G1" s="104"/>
      <c r="H1" s="104"/>
      <c r="I1" s="104"/>
      <c r="J1" s="2"/>
      <c r="K1" s="3"/>
    </row>
    <row r="2" spans="1:11" ht="18.75" customHeight="1" x14ac:dyDescent="0.25">
      <c r="A2" s="4"/>
      <c r="B2" s="5"/>
      <c r="C2" s="105"/>
      <c r="D2" s="105"/>
      <c r="E2" s="105"/>
      <c r="F2" s="105"/>
      <c r="G2" s="105"/>
      <c r="H2" s="105"/>
      <c r="I2" s="105"/>
      <c r="J2" s="5"/>
      <c r="K2" s="6"/>
    </row>
    <row r="3" spans="1:11" ht="18.75" customHeight="1" thickBot="1" x14ac:dyDescent="0.3">
      <c r="A3" s="10"/>
      <c r="B3" s="9"/>
      <c r="C3" s="106"/>
      <c r="D3" s="106"/>
      <c r="E3" s="106"/>
      <c r="F3" s="106"/>
      <c r="G3" s="106"/>
      <c r="H3" s="106"/>
      <c r="I3" s="106"/>
      <c r="J3" s="9"/>
      <c r="K3" s="11"/>
    </row>
    <row r="4" spans="1:11" ht="15.75" thickTop="1" x14ac:dyDescent="0.25">
      <c r="C4" s="13"/>
      <c r="D4" s="13"/>
    </row>
    <row r="5" spans="1:11" ht="6.75" customHeight="1" x14ac:dyDescent="0.25">
      <c r="C5" s="12"/>
      <c r="K5" t="s">
        <v>11</v>
      </c>
    </row>
    <row r="6" spans="1:11" ht="30" customHeight="1" x14ac:dyDescent="0.45">
      <c r="B6" s="15" t="s">
        <v>0</v>
      </c>
      <c r="K6" t="s">
        <v>12</v>
      </c>
    </row>
    <row r="7" spans="1:11" ht="15.75" thickBot="1" x14ac:dyDescent="0.3">
      <c r="K7" t="s">
        <v>13</v>
      </c>
    </row>
    <row r="8" spans="1:11" ht="48" customHeight="1" thickBot="1" x14ac:dyDescent="0.3">
      <c r="B8" s="8" t="s">
        <v>4</v>
      </c>
      <c r="D8" s="36" cm="1">
        <f t="array" ref="D8">MAX('Product Backlog'!$B$9:$B$12+1)</f>
        <v>4</v>
      </c>
    </row>
    <row r="10" spans="1:11" ht="16.5" x14ac:dyDescent="0.3">
      <c r="B10" s="18" t="s">
        <v>10</v>
      </c>
    </row>
    <row r="11" spans="1:11" ht="15.75" thickBot="1" x14ac:dyDescent="0.3"/>
    <row r="12" spans="1:11" ht="17.25" thickBot="1" x14ac:dyDescent="0.35">
      <c r="B12" s="7" t="s">
        <v>1</v>
      </c>
      <c r="D12" s="29"/>
    </row>
    <row r="13" spans="1:11" ht="15.75" thickBot="1" x14ac:dyDescent="0.3"/>
    <row r="14" spans="1:11" ht="17.25" thickBot="1" x14ac:dyDescent="0.35">
      <c r="B14" s="7" t="s">
        <v>2</v>
      </c>
      <c r="D14" s="30"/>
    </row>
    <row r="15" spans="1:11" ht="15.75" thickBot="1" x14ac:dyDescent="0.3"/>
    <row r="16" spans="1:11" ht="17.25" thickBot="1" x14ac:dyDescent="0.35">
      <c r="B16" s="7" t="s">
        <v>3</v>
      </c>
      <c r="D16" s="30"/>
    </row>
  </sheetData>
  <protectedRanges>
    <protectedRange sqref="D16" name="Rango4"/>
    <protectedRange sqref="D14" name="Rango3"/>
    <protectedRange sqref="D12" name="Rango2"/>
    <protectedRange sqref="C1" name="Rango1"/>
  </protectedRanges>
  <mergeCells count="1">
    <mergeCell ref="C1:I3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845-07F7-4C9B-9581-91632375A515}">
  <sheetPr codeName="Hoja2"/>
  <dimension ref="A1:XFC46"/>
  <sheetViews>
    <sheetView showGridLines="0" zoomScale="96" zoomScaleNormal="96" workbookViewId="0">
      <selection activeCell="K11" sqref="K11"/>
    </sheetView>
  </sheetViews>
  <sheetFormatPr baseColWidth="10" defaultColWidth="0" defaultRowHeight="22.5" customHeight="1" x14ac:dyDescent="0.25"/>
  <cols>
    <col min="1" max="1" width="1.85546875" customWidth="1"/>
    <col min="2" max="2" width="7.28515625" customWidth="1"/>
    <col min="3" max="3" width="11.42578125" customWidth="1"/>
    <col min="4" max="4" width="27" customWidth="1"/>
    <col min="5" max="5" width="12.85546875" customWidth="1"/>
    <col min="6" max="6" width="36" customWidth="1"/>
    <col min="7" max="7" width="11.42578125" customWidth="1"/>
    <col min="8" max="8" width="40" customWidth="1"/>
    <col min="9" max="9" width="16.28515625" style="14" customWidth="1"/>
    <col min="10" max="10" width="15.28515625" style="14" customWidth="1"/>
    <col min="11" max="11" width="15.28515625" style="94" customWidth="1"/>
    <col min="12" max="12" width="2.28515625" customWidth="1"/>
    <col min="20" max="16383" width="11.42578125" hidden="1"/>
    <col min="16384" max="16384" width="1" hidden="1" customWidth="1"/>
  </cols>
  <sheetData>
    <row r="1" spans="1:12" ht="18.75" customHeight="1" x14ac:dyDescent="0.25">
      <c r="A1" s="1"/>
      <c r="B1" s="2"/>
      <c r="C1" s="24"/>
      <c r="D1" s="104" t="s">
        <v>16</v>
      </c>
      <c r="E1" s="104"/>
      <c r="F1" s="104"/>
      <c r="G1" s="104"/>
      <c r="H1" s="104"/>
      <c r="I1" s="104"/>
      <c r="J1" s="104"/>
      <c r="K1" s="91"/>
      <c r="L1" s="3"/>
    </row>
    <row r="2" spans="1:12" ht="18.75" customHeight="1" x14ac:dyDescent="0.25">
      <c r="A2" s="4"/>
      <c r="B2" s="5"/>
      <c r="C2" s="24"/>
      <c r="D2" s="105"/>
      <c r="E2" s="105"/>
      <c r="F2" s="105"/>
      <c r="G2" s="105"/>
      <c r="H2" s="105"/>
      <c r="I2" s="105"/>
      <c r="J2" s="105"/>
      <c r="K2" s="92"/>
      <c r="L2" s="6"/>
    </row>
    <row r="3" spans="1:12" ht="18.75" customHeight="1" thickBot="1" x14ac:dyDescent="0.3">
      <c r="A3" s="10"/>
      <c r="B3" s="9"/>
      <c r="C3" s="25"/>
      <c r="D3" s="106"/>
      <c r="E3" s="106"/>
      <c r="F3" s="106"/>
      <c r="G3" s="106"/>
      <c r="H3" s="106"/>
      <c r="I3" s="106"/>
      <c r="J3" s="106"/>
      <c r="K3" s="93"/>
      <c r="L3" s="11"/>
    </row>
    <row r="4" spans="1:12" ht="15.75" thickTop="1" x14ac:dyDescent="0.25">
      <c r="C4" s="13"/>
      <c r="D4" s="13"/>
      <c r="E4" s="13"/>
    </row>
    <row r="5" spans="1:12" ht="15" x14ac:dyDescent="0.25">
      <c r="C5" s="12"/>
    </row>
    <row r="6" spans="1:12" ht="30" customHeight="1" x14ac:dyDescent="0.45">
      <c r="B6" s="15" t="s">
        <v>5</v>
      </c>
    </row>
    <row r="7" spans="1:12" ht="15" x14ac:dyDescent="0.25">
      <c r="C7" s="16"/>
      <c r="D7" s="16"/>
      <c r="E7" s="16"/>
      <c r="F7" s="16"/>
      <c r="G7" s="16"/>
    </row>
    <row r="8" spans="1:12" ht="15" customHeight="1" x14ac:dyDescent="0.25">
      <c r="B8" s="57" t="s">
        <v>6</v>
      </c>
      <c r="C8" s="58" t="s">
        <v>1</v>
      </c>
      <c r="D8" s="58" t="s">
        <v>7</v>
      </c>
      <c r="E8" s="58" t="s">
        <v>2</v>
      </c>
      <c r="F8" s="58" t="s">
        <v>8</v>
      </c>
      <c r="G8" s="58" t="s">
        <v>3</v>
      </c>
      <c r="H8" s="58" t="s">
        <v>9</v>
      </c>
      <c r="I8" s="58" t="s">
        <v>14</v>
      </c>
      <c r="J8" s="58" t="s">
        <v>15</v>
      </c>
      <c r="K8" s="56" t="s">
        <v>19</v>
      </c>
    </row>
    <row r="9" spans="1:12" ht="15" customHeight="1" x14ac:dyDescent="0.25">
      <c r="B9" s="59">
        <v>3</v>
      </c>
      <c r="C9" s="59" t="s">
        <v>11</v>
      </c>
      <c r="D9" s="59" t="s">
        <v>18</v>
      </c>
      <c r="E9" s="59" t="s">
        <v>12</v>
      </c>
      <c r="F9" s="59" t="s">
        <v>47</v>
      </c>
      <c r="G9" s="59" t="s">
        <v>13</v>
      </c>
      <c r="H9" s="59" t="s">
        <v>48</v>
      </c>
      <c r="I9" s="59">
        <v>10</v>
      </c>
      <c r="J9" s="59">
        <v>10</v>
      </c>
      <c r="K9" s="95">
        <v>1</v>
      </c>
    </row>
    <row r="10" spans="1:12" ht="15" customHeight="1" x14ac:dyDescent="0.25">
      <c r="B10" s="59">
        <v>2</v>
      </c>
      <c r="C10" s="59" t="s">
        <v>11</v>
      </c>
      <c r="D10" s="59" t="s">
        <v>43</v>
      </c>
      <c r="E10" s="59" t="s">
        <v>12</v>
      </c>
      <c r="F10" s="59" t="s">
        <v>60</v>
      </c>
      <c r="G10" s="59" t="s">
        <v>13</v>
      </c>
      <c r="H10" s="59" t="s">
        <v>46</v>
      </c>
      <c r="I10" s="59">
        <v>9</v>
      </c>
      <c r="J10" s="59">
        <v>7</v>
      </c>
      <c r="K10" s="95">
        <v>2</v>
      </c>
    </row>
    <row r="11" spans="1:12" ht="15" customHeight="1" x14ac:dyDescent="0.25">
      <c r="B11" s="59">
        <v>1</v>
      </c>
      <c r="C11" s="59" t="s">
        <v>11</v>
      </c>
      <c r="D11" s="59" t="s">
        <v>43</v>
      </c>
      <c r="E11" s="59" t="s">
        <v>12</v>
      </c>
      <c r="F11" s="59" t="s">
        <v>44</v>
      </c>
      <c r="G11" s="59" t="s">
        <v>13</v>
      </c>
      <c r="H11" s="59" t="s">
        <v>45</v>
      </c>
      <c r="I11" s="59">
        <v>8</v>
      </c>
      <c r="J11" s="59">
        <v>3</v>
      </c>
      <c r="K11" s="95">
        <v>3</v>
      </c>
    </row>
    <row r="12" spans="1:12" ht="15" customHeight="1" x14ac:dyDescent="0.25">
      <c r="B12" s="59"/>
      <c r="C12" s="59"/>
      <c r="D12" s="59"/>
      <c r="E12" s="59"/>
      <c r="F12" s="59"/>
      <c r="G12" s="59"/>
      <c r="H12" s="59"/>
      <c r="I12" s="59"/>
      <c r="J12" s="59"/>
      <c r="K12" s="95"/>
    </row>
    <row r="13" spans="1:12" ht="15" customHeight="1" x14ac:dyDescent="0.25">
      <c r="B13" s="90" t="s">
        <v>17</v>
      </c>
      <c r="C13" s="90"/>
      <c r="D13" s="90"/>
      <c r="E13" s="90"/>
      <c r="F13" s="90"/>
      <c r="G13" s="90"/>
      <c r="H13" s="90"/>
      <c r="I13" s="90">
        <f>SUBTOTAL(109,Tabla8[ESTIMACIÓN])</f>
        <v>27</v>
      </c>
      <c r="J13" s="90"/>
      <c r="K13" s="96"/>
    </row>
    <row r="14" spans="1:12" ht="15" customHeight="1" x14ac:dyDescent="0.25">
      <c r="B14" s="28"/>
      <c r="C14" s="28"/>
      <c r="D14" s="28"/>
      <c r="E14" s="28"/>
      <c r="F14" s="28"/>
      <c r="G14" s="28"/>
      <c r="H14" s="28"/>
      <c r="I14" s="31"/>
      <c r="J14" s="31"/>
      <c r="K14" s="97"/>
    </row>
    <row r="15" spans="1:12" ht="22.5" customHeight="1" x14ac:dyDescent="0.25">
      <c r="B15" s="28"/>
      <c r="C15" s="28"/>
      <c r="D15" s="28"/>
      <c r="E15" s="28"/>
      <c r="F15" s="28"/>
      <c r="G15" s="28"/>
      <c r="H15" s="28"/>
      <c r="I15" s="31"/>
      <c r="J15" s="31"/>
      <c r="K15" s="97"/>
    </row>
    <row r="16" spans="1:12" ht="22.5" customHeight="1" x14ac:dyDescent="0.25">
      <c r="B16" s="28"/>
      <c r="C16" s="28"/>
      <c r="D16" s="28"/>
      <c r="E16" s="28"/>
      <c r="F16" s="28"/>
      <c r="G16" s="28"/>
      <c r="H16" s="28"/>
      <c r="I16" s="31"/>
      <c r="J16" s="31"/>
      <c r="K16" s="97"/>
    </row>
    <row r="17" spans="2:11" ht="22.5" customHeight="1" x14ac:dyDescent="0.3">
      <c r="B17" s="26"/>
      <c r="C17" s="19"/>
      <c r="D17" s="22"/>
      <c r="E17" s="21"/>
      <c r="F17" s="22"/>
      <c r="G17" s="21"/>
      <c r="H17" s="27"/>
      <c r="I17" s="31"/>
      <c r="J17" s="31"/>
      <c r="K17" s="97"/>
    </row>
    <row r="18" spans="2:11" ht="22.5" customHeight="1" x14ac:dyDescent="0.3">
      <c r="B18" s="20"/>
      <c r="C18" s="21"/>
      <c r="D18" s="22"/>
      <c r="E18" s="22"/>
      <c r="F18" s="22"/>
      <c r="G18" s="21"/>
      <c r="H18" s="20"/>
      <c r="I18" s="31"/>
      <c r="J18" s="31"/>
      <c r="K18" s="97"/>
    </row>
    <row r="19" spans="2:11" ht="22.5" customHeight="1" x14ac:dyDescent="0.3">
      <c r="B19" s="20"/>
      <c r="C19" s="21"/>
      <c r="D19" s="21"/>
      <c r="E19" s="21"/>
      <c r="F19" s="21"/>
      <c r="G19" s="21"/>
      <c r="H19" s="20"/>
      <c r="I19" s="31"/>
      <c r="J19" s="31"/>
      <c r="K19" s="97"/>
    </row>
    <row r="20" spans="2:11" ht="22.5" customHeight="1" x14ac:dyDescent="0.3">
      <c r="B20" s="20"/>
      <c r="C20" s="21"/>
      <c r="D20" s="22"/>
      <c r="E20" s="22"/>
      <c r="F20" s="22"/>
      <c r="G20" s="21"/>
      <c r="H20" s="20"/>
      <c r="I20" s="31"/>
      <c r="J20" s="31"/>
      <c r="K20" s="97"/>
    </row>
    <row r="21" spans="2:11" ht="22.5" customHeight="1" x14ac:dyDescent="0.3">
      <c r="B21" s="20"/>
      <c r="C21" s="21"/>
      <c r="D21" s="21"/>
      <c r="E21" s="21"/>
      <c r="F21" s="21"/>
      <c r="G21" s="21"/>
      <c r="H21" s="20"/>
      <c r="I21" s="31"/>
      <c r="J21" s="31"/>
      <c r="K21" s="97"/>
    </row>
    <row r="22" spans="2:11" ht="22.5" customHeight="1" x14ac:dyDescent="0.3">
      <c r="B22" s="20"/>
      <c r="C22" s="21"/>
      <c r="D22" s="22"/>
      <c r="E22" s="22"/>
      <c r="F22" s="22"/>
      <c r="G22" s="21"/>
      <c r="H22" s="20"/>
      <c r="I22" s="31"/>
      <c r="J22" s="31"/>
      <c r="K22" s="97"/>
    </row>
    <row r="23" spans="2:11" ht="22.5" customHeight="1" x14ac:dyDescent="0.3">
      <c r="B23" s="20"/>
      <c r="C23" s="21"/>
      <c r="D23" s="21"/>
      <c r="E23" s="21"/>
      <c r="F23" s="21"/>
      <c r="G23" s="21"/>
      <c r="H23" s="20"/>
      <c r="I23" s="89"/>
      <c r="J23" s="89"/>
      <c r="K23" s="98"/>
    </row>
    <row r="24" spans="2:11" ht="22.5" customHeight="1" x14ac:dyDescent="0.3">
      <c r="B24" s="20"/>
      <c r="C24" s="20"/>
      <c r="D24" s="20"/>
      <c r="E24" s="20"/>
      <c r="F24" s="20"/>
      <c r="G24" s="20"/>
      <c r="H24" s="20"/>
      <c r="I24" s="89"/>
      <c r="J24" s="89"/>
      <c r="K24" s="98"/>
    </row>
    <row r="25" spans="2:11" ht="22.5" customHeight="1" x14ac:dyDescent="0.3">
      <c r="B25" s="20"/>
      <c r="C25" s="20"/>
      <c r="D25" s="20"/>
      <c r="E25" s="20"/>
      <c r="F25" s="20"/>
      <c r="G25" s="20"/>
      <c r="H25" s="20"/>
      <c r="I25" s="89"/>
      <c r="J25" s="89"/>
      <c r="K25" s="98"/>
    </row>
    <row r="26" spans="2:11" ht="22.5" customHeight="1" x14ac:dyDescent="0.3">
      <c r="B26" s="20"/>
      <c r="C26" s="20"/>
      <c r="D26" s="20"/>
      <c r="E26" s="20"/>
      <c r="F26" s="20"/>
      <c r="G26" s="20"/>
      <c r="H26" s="20"/>
      <c r="I26" s="89"/>
      <c r="J26" s="89"/>
      <c r="K26" s="98"/>
    </row>
    <row r="27" spans="2:11" ht="22.5" customHeight="1" x14ac:dyDescent="0.3">
      <c r="B27" s="20"/>
      <c r="C27" s="20"/>
      <c r="D27" s="20"/>
      <c r="E27" s="20"/>
      <c r="F27" s="20"/>
      <c r="G27" s="20"/>
      <c r="H27" s="20"/>
      <c r="I27" s="89"/>
      <c r="J27" s="89"/>
      <c r="K27" s="98"/>
    </row>
    <row r="28" spans="2:11" ht="22.5" customHeight="1" x14ac:dyDescent="0.3">
      <c r="B28" s="20"/>
      <c r="C28" s="20"/>
      <c r="D28" s="20"/>
      <c r="E28" s="20"/>
      <c r="F28" s="20"/>
      <c r="G28" s="20"/>
      <c r="H28" s="20"/>
      <c r="I28" s="89"/>
      <c r="J28" s="89"/>
      <c r="K28" s="98"/>
    </row>
    <row r="29" spans="2:11" ht="22.5" customHeight="1" x14ac:dyDescent="0.3">
      <c r="B29" s="20"/>
      <c r="C29" s="20"/>
      <c r="D29" s="20"/>
      <c r="E29" s="20"/>
      <c r="F29" s="20"/>
      <c r="G29" s="20"/>
      <c r="H29" s="20"/>
      <c r="I29" s="26"/>
      <c r="J29" s="26"/>
      <c r="K29" s="99"/>
    </row>
    <row r="30" spans="2:11" s="20" customFormat="1" ht="22.5" customHeight="1" x14ac:dyDescent="0.3">
      <c r="B30"/>
      <c r="C30"/>
      <c r="D30"/>
      <c r="E30"/>
      <c r="F30"/>
      <c r="G30"/>
      <c r="H30"/>
      <c r="I30" s="26"/>
      <c r="J30" s="26"/>
      <c r="K30" s="99"/>
    </row>
    <row r="31" spans="2:11" s="20" customFormat="1" ht="22.5" customHeight="1" x14ac:dyDescent="0.3">
      <c r="B31"/>
      <c r="C31"/>
      <c r="D31"/>
      <c r="E31"/>
      <c r="F31"/>
      <c r="G31"/>
      <c r="H31"/>
      <c r="I31" s="26"/>
      <c r="J31" s="26"/>
      <c r="K31" s="99"/>
    </row>
    <row r="32" spans="2:11" s="20" customFormat="1" ht="22.5" customHeight="1" x14ac:dyDescent="0.3">
      <c r="B32"/>
      <c r="C32"/>
      <c r="D32"/>
      <c r="E32"/>
      <c r="F32"/>
      <c r="G32"/>
      <c r="H32"/>
      <c r="I32" s="26"/>
      <c r="J32" s="26"/>
      <c r="K32" s="99"/>
    </row>
    <row r="33" spans="2:11" s="20" customFormat="1" ht="22.5" customHeight="1" x14ac:dyDescent="0.3">
      <c r="B33"/>
      <c r="C33"/>
      <c r="D33"/>
      <c r="E33"/>
      <c r="F33"/>
      <c r="G33"/>
      <c r="H33"/>
      <c r="I33" s="26"/>
      <c r="J33" s="26"/>
      <c r="K33" s="99"/>
    </row>
    <row r="34" spans="2:11" s="20" customFormat="1" ht="22.5" customHeight="1" x14ac:dyDescent="0.3">
      <c r="B34"/>
      <c r="C34"/>
      <c r="D34"/>
      <c r="E34"/>
      <c r="F34"/>
      <c r="G34"/>
      <c r="H34"/>
      <c r="I34" s="26"/>
      <c r="J34" s="26"/>
      <c r="K34" s="99"/>
    </row>
    <row r="35" spans="2:11" s="20" customFormat="1" ht="22.5" customHeight="1" x14ac:dyDescent="0.3">
      <c r="B35"/>
      <c r="C35"/>
      <c r="D35"/>
      <c r="E35"/>
      <c r="F35"/>
      <c r="G35"/>
      <c r="H35"/>
      <c r="I35" s="26"/>
      <c r="J35" s="26"/>
      <c r="K35" s="99"/>
    </row>
    <row r="36" spans="2:11" s="20" customFormat="1" ht="22.5" customHeight="1" x14ac:dyDescent="0.3">
      <c r="B36"/>
      <c r="C36"/>
      <c r="D36"/>
      <c r="E36"/>
      <c r="F36"/>
      <c r="G36"/>
      <c r="H36"/>
      <c r="I36" s="14"/>
      <c r="J36" s="14"/>
      <c r="K36" s="94"/>
    </row>
    <row r="37" spans="2:11" s="20" customFormat="1" ht="22.5" customHeight="1" x14ac:dyDescent="0.3">
      <c r="B37"/>
      <c r="C37"/>
      <c r="D37"/>
      <c r="E37"/>
      <c r="F37"/>
      <c r="G37"/>
      <c r="H37"/>
      <c r="I37" s="14"/>
      <c r="J37" s="14"/>
      <c r="K37" s="94"/>
    </row>
    <row r="38" spans="2:11" s="20" customFormat="1" ht="22.5" customHeight="1" x14ac:dyDescent="0.3">
      <c r="B38"/>
      <c r="C38"/>
      <c r="D38"/>
      <c r="E38"/>
      <c r="F38"/>
      <c r="G38"/>
      <c r="H38"/>
      <c r="I38" s="14"/>
      <c r="J38" s="14"/>
      <c r="K38" s="94"/>
    </row>
    <row r="39" spans="2:11" s="20" customFormat="1" ht="22.5" customHeight="1" x14ac:dyDescent="0.3">
      <c r="B39"/>
      <c r="C39"/>
      <c r="D39"/>
      <c r="E39"/>
      <c r="F39"/>
      <c r="G39"/>
      <c r="H39"/>
      <c r="I39" s="14"/>
      <c r="J39" s="14"/>
      <c r="K39" s="94"/>
    </row>
    <row r="40" spans="2:11" s="20" customFormat="1" ht="22.5" customHeight="1" x14ac:dyDescent="0.3">
      <c r="B40"/>
      <c r="C40"/>
      <c r="D40"/>
      <c r="E40"/>
      <c r="F40"/>
      <c r="G40"/>
      <c r="H40"/>
      <c r="I40" s="14"/>
      <c r="J40" s="14"/>
      <c r="K40" s="94"/>
    </row>
    <row r="41" spans="2:11" s="20" customFormat="1" ht="22.5" customHeight="1" x14ac:dyDescent="0.3">
      <c r="B41"/>
      <c r="C41"/>
      <c r="D41"/>
      <c r="E41"/>
      <c r="F41"/>
      <c r="G41"/>
      <c r="H41"/>
      <c r="I41" s="14"/>
      <c r="J41" s="14"/>
      <c r="K41" s="94"/>
    </row>
    <row r="42" spans="2:11" s="20" customFormat="1" ht="22.5" customHeight="1" x14ac:dyDescent="0.3">
      <c r="B42"/>
      <c r="C42"/>
      <c r="D42"/>
      <c r="E42"/>
      <c r="F42"/>
      <c r="G42"/>
      <c r="H42"/>
      <c r="I42" s="14"/>
      <c r="J42" s="14"/>
      <c r="K42" s="94"/>
    </row>
    <row r="43" spans="2:11" s="20" customFormat="1" ht="22.5" customHeight="1" x14ac:dyDescent="0.3">
      <c r="B43"/>
      <c r="C43"/>
      <c r="D43"/>
      <c r="E43"/>
      <c r="F43"/>
      <c r="G43"/>
      <c r="H43"/>
      <c r="I43" s="14"/>
      <c r="J43" s="14"/>
      <c r="K43" s="94"/>
    </row>
    <row r="44" spans="2:11" s="20" customFormat="1" ht="22.5" customHeight="1" x14ac:dyDescent="0.3">
      <c r="B44"/>
      <c r="C44"/>
      <c r="D44"/>
      <c r="E44"/>
      <c r="F44"/>
      <c r="G44"/>
      <c r="H44"/>
      <c r="I44" s="14"/>
      <c r="J44" s="14"/>
      <c r="K44" s="94"/>
    </row>
    <row r="45" spans="2:11" s="20" customFormat="1" ht="22.5" customHeight="1" x14ac:dyDescent="0.3">
      <c r="B45"/>
      <c r="C45"/>
      <c r="D45"/>
      <c r="E45"/>
      <c r="F45"/>
      <c r="G45"/>
      <c r="H45"/>
      <c r="I45" s="14"/>
      <c r="J45" s="14"/>
      <c r="K45" s="94"/>
    </row>
    <row r="46" spans="2:11" s="20" customFormat="1" ht="22.5" customHeight="1" x14ac:dyDescent="0.3">
      <c r="B46"/>
      <c r="C46"/>
      <c r="D46"/>
      <c r="E46"/>
      <c r="F46"/>
      <c r="G46"/>
      <c r="H46"/>
      <c r="I46" s="14"/>
      <c r="J46" s="14"/>
      <c r="K46" s="94"/>
    </row>
  </sheetData>
  <mergeCells count="1">
    <mergeCell ref="D1:J3"/>
  </mergeCells>
  <pageMargins left="0.7" right="0.7" top="0.75" bottom="0.75" header="0.3" footer="0.3"/>
  <pageSetup paperSize="9" orientation="portrait" r:id="rId1"/>
  <drawing r:id="rId2"/>
  <picture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6748-6D5D-46FE-B59F-8EE5EAE8D207}">
  <sheetPr codeName="Hoja1"/>
  <dimension ref="A1:T27"/>
  <sheetViews>
    <sheetView showGridLines="0" zoomScale="103" zoomScaleNormal="103" workbookViewId="0">
      <selection activeCell="F6" sqref="F6"/>
    </sheetView>
  </sheetViews>
  <sheetFormatPr baseColWidth="10" defaultColWidth="0" defaultRowHeight="15" x14ac:dyDescent="0.25"/>
  <cols>
    <col min="1" max="1" width="11.42578125" style="37" customWidth="1"/>
    <col min="2" max="2" width="5.7109375" style="37" customWidth="1"/>
    <col min="3" max="3" width="8.28515625" style="37" customWidth="1"/>
    <col min="4" max="4" width="25.5703125" style="37" customWidth="1"/>
    <col min="5" max="5" width="58.28515625" style="37" customWidth="1"/>
    <col min="6" max="6" width="27" style="37" customWidth="1"/>
    <col min="7" max="7" width="16.5703125" style="37" customWidth="1"/>
    <col min="8" max="8" width="7.42578125" style="37" customWidth="1"/>
    <col min="9" max="10" width="11.42578125" style="37" customWidth="1"/>
    <col min="11" max="15" width="0" style="37" hidden="1" customWidth="1"/>
    <col min="16" max="16384" width="11.42578125" style="37" hidden="1"/>
  </cols>
  <sheetData>
    <row r="1" spans="1:20" customFormat="1" ht="18.75" customHeight="1" x14ac:dyDescent="0.25">
      <c r="A1" s="1"/>
      <c r="B1" s="2"/>
      <c r="C1" s="104" t="s">
        <v>16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</row>
    <row r="2" spans="1:20" customFormat="1" ht="18.75" customHeight="1" x14ac:dyDescent="0.25">
      <c r="A2" s="4"/>
      <c r="B2" s="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</row>
    <row r="3" spans="1:20" customFormat="1" ht="18.75" customHeight="1" thickBot="1" x14ac:dyDescent="0.3">
      <c r="A3" s="4"/>
      <c r="B3" s="5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</row>
    <row r="4" spans="1:20" s="62" customFormat="1" ht="15" customHeight="1" thickTop="1" x14ac:dyDescent="0.25">
      <c r="A4" s="60"/>
      <c r="B4" s="60"/>
      <c r="C4" s="61"/>
      <c r="D4" s="61"/>
      <c r="E4" s="61"/>
      <c r="F4" s="61"/>
      <c r="G4" s="61"/>
      <c r="H4" s="61"/>
      <c r="I4" s="61"/>
      <c r="J4" s="61"/>
    </row>
    <row r="5" spans="1:20" s="62" customFormat="1" ht="15" customHeight="1" thickBot="1" x14ac:dyDescent="0.3">
      <c r="A5" s="61"/>
      <c r="B5" s="61"/>
      <c r="C5" s="61"/>
      <c r="D5" s="61"/>
      <c r="E5" s="61"/>
      <c r="F5"/>
      <c r="G5" s="61"/>
      <c r="H5" s="61"/>
      <c r="I5" s="61"/>
      <c r="J5" s="61"/>
    </row>
    <row r="6" spans="1:20" s="62" customFormat="1" ht="29.25" customHeight="1" thickBot="1" x14ac:dyDescent="0.3">
      <c r="A6" s="61"/>
      <c r="B6" s="40" t="s">
        <v>20</v>
      </c>
      <c r="C6" s="61"/>
      <c r="D6" s="61"/>
      <c r="E6" s="61"/>
      <c r="F6" s="64" t="s">
        <v>26</v>
      </c>
      <c r="G6" s="73" cm="1">
        <f t="array" ref="G6">MAX(Tabla9[ID]+1)</f>
        <v>5</v>
      </c>
      <c r="H6" s="61"/>
      <c r="I6" s="61"/>
      <c r="J6" s="61"/>
    </row>
    <row r="7" spans="1:20" s="62" customFormat="1" ht="15" customHeight="1" thickBot="1" x14ac:dyDescent="0.3">
      <c r="A7" s="61"/>
      <c r="B7" s="63"/>
      <c r="C7" s="61"/>
      <c r="D7" s="61"/>
      <c r="E7" s="61"/>
      <c r="F7" s="61"/>
      <c r="G7" s="61"/>
      <c r="H7" s="61"/>
      <c r="I7" s="61"/>
      <c r="J7" s="61"/>
    </row>
    <row r="8" spans="1:20" s="62" customFormat="1" ht="30.75" customHeight="1" x14ac:dyDescent="0.25">
      <c r="A8" s="61"/>
      <c r="B8" s="107"/>
      <c r="C8" s="108"/>
      <c r="D8" s="74" t="s">
        <v>38</v>
      </c>
      <c r="E8" s="75" t="s">
        <v>39</v>
      </c>
      <c r="F8" s="75" t="s">
        <v>25</v>
      </c>
      <c r="G8" s="76" t="s">
        <v>24</v>
      </c>
      <c r="H8" s="64"/>
      <c r="I8" s="61"/>
      <c r="J8" s="61" t="s">
        <v>27</v>
      </c>
    </row>
    <row r="9" spans="1:20" s="62" customFormat="1" ht="21" customHeight="1" x14ac:dyDescent="0.25">
      <c r="A9" s="61"/>
      <c r="B9" s="116">
        <v>3</v>
      </c>
      <c r="C9" s="119"/>
      <c r="D9" s="114" t="str">
        <f>IF(ISBLANK(B9)," ","Como "&amp;_xlfn.XLOOKUP(B9,Tabla8[ID],Tabla8['[USUARIO']])&amp;" quiero "&amp;_xlfn.XLOOKUP(B9,Tabla8[ID],Tabla8['[OBJETIVO']])&amp;" para "&amp;_xlfn.XLOOKUP(B9,Tabla8[ID],Tabla8['[BENEFICIO']]))</f>
        <v>Como usuario quiero ver un catálogo para agregar productos</v>
      </c>
      <c r="E9" s="109"/>
      <c r="F9" s="121"/>
      <c r="G9" s="124" t="s">
        <v>27</v>
      </c>
      <c r="H9" s="61"/>
      <c r="I9" s="61"/>
      <c r="J9" s="61" t="s">
        <v>28</v>
      </c>
    </row>
    <row r="10" spans="1:20" s="62" customFormat="1" ht="21" customHeight="1" x14ac:dyDescent="0.25">
      <c r="A10" s="61"/>
      <c r="B10" s="116"/>
      <c r="C10" s="120"/>
      <c r="D10" s="114"/>
      <c r="E10" s="110"/>
      <c r="F10" s="122"/>
      <c r="G10" s="125"/>
      <c r="H10" s="61"/>
      <c r="I10" s="61"/>
      <c r="J10" s="61" t="s">
        <v>29</v>
      </c>
    </row>
    <row r="11" spans="1:20" s="62" customFormat="1" ht="21" customHeight="1" x14ac:dyDescent="0.25">
      <c r="A11" s="61"/>
      <c r="B11" s="68">
        <f>_xlfn.XLOOKUP(B9,Tabla8[ID],Tabla8[ESTIMACIÓN])</f>
        <v>10</v>
      </c>
      <c r="C11" s="65"/>
      <c r="D11" s="114"/>
      <c r="E11" s="110"/>
      <c r="F11" s="122"/>
      <c r="G11" s="125"/>
      <c r="H11" s="61"/>
      <c r="I11" s="61"/>
      <c r="J11" s="61"/>
    </row>
    <row r="12" spans="1:20" s="62" customFormat="1" ht="21" customHeight="1" x14ac:dyDescent="0.25">
      <c r="A12" s="61"/>
      <c r="B12" s="112">
        <f>_xlfn.XLOOKUP(B9,Tabla8[ID],Tabla8[SPRINT])</f>
        <v>1</v>
      </c>
      <c r="C12" s="117"/>
      <c r="D12" s="114"/>
      <c r="E12" s="110"/>
      <c r="F12" s="122"/>
      <c r="G12" s="125"/>
      <c r="H12" s="61"/>
      <c r="I12" s="61"/>
      <c r="J12" s="61"/>
    </row>
    <row r="13" spans="1:20" s="62" customFormat="1" ht="21" customHeight="1" thickBot="1" x14ac:dyDescent="0.3">
      <c r="A13" s="61"/>
      <c r="B13" s="113"/>
      <c r="C13" s="118"/>
      <c r="D13" s="115"/>
      <c r="E13" s="111"/>
      <c r="F13" s="123"/>
      <c r="G13" s="126"/>
      <c r="H13" s="61"/>
      <c r="I13" s="61"/>
      <c r="J13" s="61"/>
    </row>
    <row r="14" spans="1:20" s="62" customFormat="1" ht="15" customHeight="1" x14ac:dyDescent="0.25">
      <c r="A14" s="61"/>
      <c r="B14" s="66"/>
      <c r="C14" s="66"/>
      <c r="D14" s="67"/>
      <c r="E14" s="61"/>
      <c r="F14" s="61"/>
      <c r="G14" s="61"/>
      <c r="H14" s="61"/>
      <c r="I14" s="61"/>
      <c r="J14" s="61"/>
    </row>
    <row r="15" spans="1:20" s="62" customFormat="1" ht="21" customHeight="1" x14ac:dyDescent="0.25">
      <c r="B15" s="62" t="s">
        <v>41</v>
      </c>
    </row>
    <row r="16" spans="1:20" s="62" customFormat="1" ht="21" customHeight="1" x14ac:dyDescent="0.25"/>
    <row r="17" s="62" customFormat="1" ht="21" customHeight="1" x14ac:dyDescent="0.25"/>
    <row r="18" s="62" customFormat="1" ht="21" customHeight="1" x14ac:dyDescent="0.25"/>
    <row r="19" s="62" customFormat="1" ht="21" customHeight="1" x14ac:dyDescent="0.25"/>
    <row r="20" s="62" customFormat="1" ht="21" customHeight="1" x14ac:dyDescent="0.25"/>
    <row r="21" s="62" customFormat="1" ht="21" customHeight="1" x14ac:dyDescent="0.25"/>
    <row r="22" ht="21" customHeight="1" x14ac:dyDescent="0.25"/>
    <row r="23" ht="21" customHeight="1" x14ac:dyDescent="0.25"/>
    <row r="24" ht="21" customHeight="1" x14ac:dyDescent="0.25"/>
    <row r="25" ht="21" customHeight="1" x14ac:dyDescent="0.25"/>
    <row r="26" ht="21" customHeight="1" x14ac:dyDescent="0.25"/>
    <row r="27" ht="21" customHeight="1" x14ac:dyDescent="0.25"/>
  </sheetData>
  <protectedRanges>
    <protectedRange sqref="D13:D14" name="Rango2"/>
    <protectedRange sqref="C1" name="Rango1"/>
  </protectedRanges>
  <mergeCells count="11">
    <mergeCell ref="B8:C8"/>
    <mergeCell ref="E9:E13"/>
    <mergeCell ref="J1:T3"/>
    <mergeCell ref="B12:B13"/>
    <mergeCell ref="D9:D13"/>
    <mergeCell ref="B9:B10"/>
    <mergeCell ref="C12:C13"/>
    <mergeCell ref="C9:C10"/>
    <mergeCell ref="F9:F13"/>
    <mergeCell ref="G9:G13"/>
    <mergeCell ref="C1:I3"/>
  </mergeCells>
  <conditionalFormatting sqref="D9:D13">
    <cfRule type="expression" dxfId="22" priority="1">
      <formula>$B$12=1</formula>
    </cfRule>
  </conditionalFormatting>
  <dataValidations count="2">
    <dataValidation type="list" allowBlank="1" showInputMessage="1" showErrorMessage="1" sqref="G8:G13" xr:uid="{5094DE95-7CC3-490C-B5A2-B37316E1507A}">
      <formula1>$J$8:$J$10</formula1>
    </dataValidation>
    <dataValidation type="list" allowBlank="1" showInputMessage="1" showErrorMessage="1" sqref="F8:F13" xr:uid="{413DDC82-8C89-467E-8358-34C75F7F3415}">
      <formula1>"Juan Pérez, Pablo Ruiz, Daniela Gómez"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136B3-E69B-410D-A32F-13A7DAC3F86B}">
  <sheetPr codeName="Hoja4"/>
  <dimension ref="A1:Q110"/>
  <sheetViews>
    <sheetView showGridLines="0" zoomScale="103" zoomScaleNormal="103" workbookViewId="0">
      <selection activeCell="F10" sqref="F10"/>
    </sheetView>
  </sheetViews>
  <sheetFormatPr baseColWidth="10" defaultColWidth="0" defaultRowHeight="26.25" x14ac:dyDescent="0.25"/>
  <cols>
    <col min="1" max="1" width="11.42578125" style="37" customWidth="1"/>
    <col min="2" max="2" width="11.42578125" style="70" customWidth="1"/>
    <col min="3" max="3" width="62.42578125" style="42" customWidth="1"/>
    <col min="4" max="4" width="12.28515625" style="70" customWidth="1"/>
    <col min="5" max="5" width="22.140625" style="42" customWidth="1"/>
    <col min="6" max="6" width="14" style="42" customWidth="1"/>
    <col min="7" max="7" width="13.28515625" style="70" customWidth="1"/>
    <col min="8" max="8" width="11.42578125" style="42" customWidth="1"/>
    <col min="9" max="10" width="11.42578125" style="37" customWidth="1"/>
    <col min="11" max="17" width="0" style="37" hidden="1" customWidth="1"/>
    <col min="18" max="16384" width="11.42578125" style="37" hidden="1"/>
  </cols>
  <sheetData>
    <row r="1" spans="1:10" customFormat="1" ht="18.75" customHeight="1" x14ac:dyDescent="0.25">
      <c r="A1" s="1"/>
      <c r="B1" s="34"/>
      <c r="C1" s="104" t="s">
        <v>16</v>
      </c>
      <c r="D1" s="104"/>
      <c r="E1" s="104"/>
      <c r="F1" s="104"/>
      <c r="G1" s="104"/>
      <c r="H1" s="104"/>
      <c r="I1" s="23"/>
      <c r="J1" s="23"/>
    </row>
    <row r="2" spans="1:10" customFormat="1" ht="18.75" customHeight="1" x14ac:dyDescent="0.25">
      <c r="A2" s="4"/>
      <c r="B2" s="35"/>
      <c r="C2" s="105"/>
      <c r="D2" s="105"/>
      <c r="E2" s="105"/>
      <c r="F2" s="105"/>
      <c r="G2" s="105"/>
      <c r="H2" s="105"/>
      <c r="I2" s="32"/>
      <c r="J2" s="32"/>
    </row>
    <row r="3" spans="1:10" customFormat="1" ht="18.75" customHeight="1" thickBot="1" x14ac:dyDescent="0.3">
      <c r="A3" s="4"/>
      <c r="B3" s="35"/>
      <c r="C3" s="106"/>
      <c r="D3" s="106"/>
      <c r="E3" s="106"/>
      <c r="F3" s="106"/>
      <c r="G3" s="106"/>
      <c r="H3" s="106"/>
      <c r="I3" s="33"/>
      <c r="J3" s="33"/>
    </row>
    <row r="4" spans="1:10" s="45" customFormat="1" ht="15" customHeight="1" thickTop="1" x14ac:dyDescent="0.25">
      <c r="A4" s="43"/>
      <c r="B4" s="69"/>
      <c r="C4" s="44"/>
      <c r="D4" s="47"/>
      <c r="E4" s="44"/>
      <c r="F4" s="44"/>
      <c r="G4" s="47"/>
      <c r="H4" s="44"/>
    </row>
    <row r="5" spans="1:10" s="45" customFormat="1" ht="15" customHeight="1" x14ac:dyDescent="0.25">
      <c r="A5" s="44"/>
      <c r="B5" s="47"/>
      <c r="C5" s="44"/>
      <c r="D5" s="47"/>
      <c r="E5" s="44"/>
      <c r="F5" s="44"/>
      <c r="G5" s="47"/>
      <c r="H5" s="44"/>
      <c r="J5" s="45" t="str">
        <f>ADDRESS(MATCH('Sprint Backlog'!D6,Tabla9[ID],0)+8,6)</f>
        <v>$F$10</v>
      </c>
    </row>
    <row r="6" spans="1:10" s="45" customFormat="1" ht="29.25" customHeight="1" x14ac:dyDescent="0.25">
      <c r="A6" s="44"/>
      <c r="B6" s="71" t="s">
        <v>30</v>
      </c>
      <c r="C6" s="46"/>
      <c r="D6" s="48"/>
      <c r="E6" s="46"/>
      <c r="F6" s="46"/>
      <c r="G6" s="48"/>
      <c r="H6" s="46"/>
      <c r="J6" s="49"/>
    </row>
    <row r="7" spans="1:10" s="45" customFormat="1" ht="15" customHeight="1" x14ac:dyDescent="0.25">
      <c r="A7" s="44"/>
      <c r="B7" s="48"/>
      <c r="C7" s="46"/>
      <c r="D7" s="48"/>
      <c r="E7" s="46"/>
      <c r="F7" s="46"/>
      <c r="G7" s="48"/>
      <c r="H7" s="46"/>
    </row>
    <row r="8" spans="1:10" s="49" customFormat="1" ht="18.75" customHeight="1" x14ac:dyDescent="0.25">
      <c r="A8" s="47"/>
      <c r="B8" s="72" t="s">
        <v>6</v>
      </c>
      <c r="C8" s="72" t="s">
        <v>22</v>
      </c>
      <c r="D8" s="72" t="s">
        <v>23</v>
      </c>
      <c r="E8" s="72" t="s">
        <v>25</v>
      </c>
      <c r="F8" s="72" t="s">
        <v>24</v>
      </c>
      <c r="G8" s="72" t="s">
        <v>19</v>
      </c>
      <c r="H8" s="48"/>
    </row>
    <row r="9" spans="1:10" s="49" customFormat="1" ht="18.75" customHeight="1" x14ac:dyDescent="0.25">
      <c r="A9" s="47"/>
      <c r="B9" s="53">
        <v>4</v>
      </c>
      <c r="C9" s="50" t="s">
        <v>53</v>
      </c>
      <c r="D9" s="53">
        <v>3</v>
      </c>
      <c r="E9" s="50" t="s">
        <v>40</v>
      </c>
      <c r="F9" s="50" t="s">
        <v>28</v>
      </c>
      <c r="G9" s="53">
        <v>1</v>
      </c>
      <c r="H9" s="48"/>
    </row>
    <row r="10" spans="1:10" s="49" customFormat="1" ht="18.75" customHeight="1" x14ac:dyDescent="0.25">
      <c r="A10" s="47"/>
      <c r="B10" s="53">
        <v>3</v>
      </c>
      <c r="C10" s="50" t="s">
        <v>51</v>
      </c>
      <c r="D10" s="53">
        <v>2</v>
      </c>
      <c r="E10" s="50" t="s">
        <v>52</v>
      </c>
      <c r="F10" s="50" t="s">
        <v>29</v>
      </c>
      <c r="G10" s="53">
        <v>2</v>
      </c>
      <c r="H10" s="48"/>
    </row>
    <row r="11" spans="1:10" s="49" customFormat="1" ht="18.75" customHeight="1" x14ac:dyDescent="0.25">
      <c r="A11" s="47"/>
      <c r="B11" s="53">
        <v>2</v>
      </c>
      <c r="C11" s="50" t="s">
        <v>50</v>
      </c>
      <c r="D11" s="53">
        <v>1</v>
      </c>
      <c r="E11" s="50" t="s">
        <v>40</v>
      </c>
      <c r="F11" s="50" t="s">
        <v>27</v>
      </c>
      <c r="G11" s="53">
        <v>3</v>
      </c>
      <c r="H11" s="48"/>
    </row>
    <row r="12" spans="1:10" s="49" customFormat="1" ht="18.75" customHeight="1" x14ac:dyDescent="0.25">
      <c r="A12" s="47"/>
      <c r="B12" s="53">
        <v>1</v>
      </c>
      <c r="C12" s="50" t="s">
        <v>49</v>
      </c>
      <c r="D12" s="53">
        <v>1</v>
      </c>
      <c r="E12" s="50" t="s">
        <v>21</v>
      </c>
      <c r="F12" s="50" t="s">
        <v>27</v>
      </c>
      <c r="G12" s="53">
        <v>3</v>
      </c>
      <c r="H12" s="48"/>
    </row>
    <row r="13" spans="1:10" s="49" customFormat="1" ht="18.75" customHeight="1" x14ac:dyDescent="0.25">
      <c r="A13" s="47"/>
      <c r="B13" s="53"/>
      <c r="C13" s="50"/>
      <c r="D13" s="53"/>
      <c r="E13" s="50"/>
      <c r="F13" s="50"/>
      <c r="G13" s="53"/>
      <c r="H13" s="48"/>
    </row>
    <row r="14" spans="1:10" s="49" customFormat="1" ht="18.75" customHeight="1" x14ac:dyDescent="0.25">
      <c r="A14" s="47"/>
      <c r="B14" s="53"/>
      <c r="C14" s="50"/>
      <c r="D14" s="53"/>
      <c r="E14" s="50"/>
      <c r="F14" s="50"/>
      <c r="G14" s="53"/>
      <c r="H14" s="48"/>
    </row>
    <row r="15" spans="1:10" s="49" customFormat="1" ht="18.75" customHeight="1" x14ac:dyDescent="0.25">
      <c r="A15" s="47"/>
      <c r="B15" s="53"/>
      <c r="C15" s="50"/>
      <c r="D15" s="53"/>
      <c r="E15" s="50"/>
      <c r="F15" s="50"/>
      <c r="G15" s="53"/>
      <c r="H15" s="48"/>
    </row>
    <row r="16" spans="1:10" s="49" customFormat="1" ht="18.75" customHeight="1" x14ac:dyDescent="0.25">
      <c r="A16" s="47"/>
      <c r="B16" s="53"/>
      <c r="C16" s="50"/>
      <c r="D16" s="53"/>
      <c r="E16" s="50"/>
      <c r="F16" s="50"/>
      <c r="G16" s="53"/>
      <c r="H16" s="48"/>
    </row>
    <row r="17" spans="1:8" s="49" customFormat="1" ht="18.75" customHeight="1" x14ac:dyDescent="0.25">
      <c r="A17" s="47"/>
      <c r="B17" s="53"/>
      <c r="C17" s="50"/>
      <c r="D17" s="53"/>
      <c r="E17" s="50"/>
      <c r="F17" s="50"/>
      <c r="G17" s="53"/>
      <c r="H17" s="48"/>
    </row>
    <row r="18" spans="1:8" s="49" customFormat="1" ht="18.75" customHeight="1" x14ac:dyDescent="0.25">
      <c r="A18" s="47"/>
      <c r="B18" s="53"/>
      <c r="C18" s="50"/>
      <c r="D18" s="53"/>
      <c r="E18" s="50"/>
      <c r="F18" s="50"/>
      <c r="G18" s="53"/>
      <c r="H18" s="48"/>
    </row>
    <row r="19" spans="1:8" s="49" customFormat="1" ht="18.75" customHeight="1" x14ac:dyDescent="0.25">
      <c r="A19" s="47"/>
      <c r="B19" s="53"/>
      <c r="C19" s="50"/>
      <c r="D19" s="53"/>
      <c r="E19" s="50"/>
      <c r="F19" s="50"/>
      <c r="G19" s="53"/>
      <c r="H19" s="48"/>
    </row>
    <row r="20" spans="1:8" s="49" customFormat="1" ht="18.75" customHeight="1" x14ac:dyDescent="0.25">
      <c r="A20" s="47"/>
      <c r="B20" s="53"/>
      <c r="C20" s="50"/>
      <c r="D20" s="53"/>
      <c r="E20" s="50"/>
      <c r="F20" s="50"/>
      <c r="G20" s="53"/>
      <c r="H20" s="48"/>
    </row>
    <row r="21" spans="1:8" s="45" customFormat="1" ht="21" customHeight="1" x14ac:dyDescent="0.25">
      <c r="A21" s="44"/>
      <c r="B21" s="53"/>
      <c r="C21" s="50"/>
      <c r="D21" s="53"/>
      <c r="E21" s="50"/>
      <c r="F21" s="50"/>
      <c r="G21" s="53"/>
      <c r="H21" s="46"/>
    </row>
    <row r="22" spans="1:8" s="45" customFormat="1" ht="21" customHeight="1" x14ac:dyDescent="0.25">
      <c r="A22" s="44"/>
      <c r="B22" s="53"/>
      <c r="C22" s="50"/>
      <c r="D22" s="53"/>
      <c r="E22" s="50"/>
      <c r="F22" s="50"/>
      <c r="G22" s="53"/>
      <c r="H22" s="46"/>
    </row>
    <row r="23" spans="1:8" s="45" customFormat="1" ht="21" customHeight="1" x14ac:dyDescent="0.25">
      <c r="A23" s="44"/>
      <c r="B23" s="53"/>
      <c r="C23" s="50"/>
      <c r="D23" s="53"/>
      <c r="E23" s="50"/>
      <c r="F23" s="50"/>
      <c r="G23" s="53"/>
      <c r="H23" s="46"/>
    </row>
    <row r="24" spans="1:8" s="45" customFormat="1" ht="21" customHeight="1" x14ac:dyDescent="0.25">
      <c r="A24" s="44"/>
      <c r="B24" s="53"/>
      <c r="C24" s="50"/>
      <c r="D24" s="53"/>
      <c r="E24" s="50"/>
      <c r="F24" s="50"/>
      <c r="G24" s="53"/>
      <c r="H24" s="46"/>
    </row>
    <row r="25" spans="1:8" s="45" customFormat="1" ht="21" customHeight="1" x14ac:dyDescent="0.25">
      <c r="A25" s="44"/>
      <c r="B25" s="53"/>
      <c r="C25" s="50"/>
      <c r="D25" s="53"/>
      <c r="E25" s="50"/>
      <c r="F25" s="50"/>
      <c r="G25" s="53"/>
      <c r="H25" s="46"/>
    </row>
    <row r="26" spans="1:8" s="45" customFormat="1" ht="21" customHeight="1" x14ac:dyDescent="0.25">
      <c r="A26" s="44"/>
      <c r="B26" s="53"/>
      <c r="C26" s="50"/>
      <c r="D26" s="53"/>
      <c r="E26" s="50"/>
      <c r="F26" s="50"/>
      <c r="G26" s="53"/>
      <c r="H26" s="46"/>
    </row>
    <row r="27" spans="1:8" s="45" customFormat="1" ht="18.75" customHeight="1" x14ac:dyDescent="0.25">
      <c r="A27" s="44"/>
      <c r="B27" s="53"/>
      <c r="C27" s="50"/>
      <c r="D27" s="53"/>
      <c r="E27" s="50"/>
      <c r="F27" s="50"/>
      <c r="G27" s="53"/>
      <c r="H27" s="46"/>
    </row>
    <row r="28" spans="1:8" s="45" customFormat="1" ht="21" customHeight="1" x14ac:dyDescent="0.25">
      <c r="A28" s="44"/>
      <c r="B28" s="53"/>
      <c r="C28" s="50"/>
      <c r="D28" s="53"/>
      <c r="E28" s="50"/>
      <c r="F28" s="50"/>
      <c r="G28" s="53"/>
      <c r="H28" s="46"/>
    </row>
    <row r="29" spans="1:8" s="45" customFormat="1" ht="21" customHeight="1" x14ac:dyDescent="0.25">
      <c r="A29" s="44"/>
      <c r="B29" s="53"/>
      <c r="C29" s="50"/>
      <c r="D29" s="53"/>
      <c r="E29" s="50"/>
      <c r="F29" s="50"/>
      <c r="G29" s="53"/>
      <c r="H29" s="46"/>
    </row>
    <row r="30" spans="1:8" s="45" customFormat="1" ht="21" customHeight="1" x14ac:dyDescent="0.25">
      <c r="A30" s="44"/>
      <c r="B30" s="53"/>
      <c r="C30" s="50"/>
      <c r="D30" s="53"/>
      <c r="E30" s="50"/>
      <c r="F30" s="50"/>
      <c r="G30" s="53"/>
      <c r="H30" s="46"/>
    </row>
    <row r="31" spans="1:8" s="45" customFormat="1" ht="21" customHeight="1" x14ac:dyDescent="0.25">
      <c r="A31" s="44"/>
      <c r="B31" s="53"/>
      <c r="C31" s="50"/>
      <c r="D31" s="53"/>
      <c r="E31" s="50"/>
      <c r="F31" s="50"/>
      <c r="G31" s="53"/>
      <c r="H31" s="46"/>
    </row>
    <row r="32" spans="1:8" s="45" customFormat="1" ht="21" customHeight="1" x14ac:dyDescent="0.25">
      <c r="B32" s="48"/>
      <c r="C32" s="46"/>
      <c r="D32" s="48"/>
      <c r="E32" s="46"/>
      <c r="F32" s="46"/>
      <c r="G32" s="48"/>
      <c r="H32" s="46"/>
    </row>
    <row r="33" spans="2:8" s="45" customFormat="1" ht="21" customHeight="1" x14ac:dyDescent="0.25">
      <c r="B33" s="48"/>
      <c r="C33" s="46"/>
      <c r="D33" s="48"/>
      <c r="E33" s="46"/>
      <c r="F33" s="46"/>
      <c r="G33" s="48"/>
      <c r="H33" s="46"/>
    </row>
    <row r="34" spans="2:8" s="45" customFormat="1" ht="21" customHeight="1" x14ac:dyDescent="0.25">
      <c r="B34" s="48"/>
      <c r="C34" s="46"/>
      <c r="D34" s="48"/>
      <c r="E34" s="46"/>
      <c r="F34" s="46"/>
      <c r="G34" s="48"/>
      <c r="H34" s="46"/>
    </row>
    <row r="35" spans="2:8" s="45" customFormat="1" ht="21" customHeight="1" x14ac:dyDescent="0.25">
      <c r="B35" s="48"/>
      <c r="C35" s="46"/>
      <c r="D35" s="48"/>
      <c r="E35" s="46"/>
      <c r="F35" s="46"/>
      <c r="G35" s="48"/>
      <c r="H35" s="46"/>
    </row>
    <row r="36" spans="2:8" s="45" customFormat="1" ht="21" customHeight="1" x14ac:dyDescent="0.25">
      <c r="B36" s="48"/>
      <c r="C36" s="46"/>
      <c r="D36" s="48"/>
      <c r="E36" s="46"/>
      <c r="F36" s="46"/>
      <c r="G36" s="48"/>
      <c r="H36" s="46"/>
    </row>
    <row r="37" spans="2:8" s="45" customFormat="1" ht="21" customHeight="1" x14ac:dyDescent="0.25">
      <c r="B37" s="48"/>
      <c r="C37" s="46"/>
      <c r="D37" s="48"/>
      <c r="E37" s="46"/>
      <c r="F37" s="46"/>
      <c r="G37" s="48"/>
      <c r="H37" s="46"/>
    </row>
    <row r="38" spans="2:8" s="45" customFormat="1" ht="21" customHeight="1" x14ac:dyDescent="0.25">
      <c r="B38" s="48"/>
      <c r="C38" s="46"/>
      <c r="D38" s="48"/>
      <c r="E38" s="46"/>
      <c r="F38" s="46"/>
      <c r="G38" s="48"/>
      <c r="H38" s="46"/>
    </row>
    <row r="39" spans="2:8" s="45" customFormat="1" ht="21" customHeight="1" x14ac:dyDescent="0.25">
      <c r="B39" s="48"/>
      <c r="C39" s="46"/>
      <c r="D39" s="48"/>
      <c r="E39" s="46"/>
      <c r="F39" s="46"/>
      <c r="G39" s="48"/>
      <c r="H39" s="46"/>
    </row>
    <row r="40" spans="2:8" s="45" customFormat="1" ht="21" customHeight="1" x14ac:dyDescent="0.25">
      <c r="B40" s="48"/>
      <c r="C40" s="46"/>
      <c r="D40" s="48"/>
      <c r="E40" s="46"/>
      <c r="F40" s="46"/>
      <c r="G40" s="48"/>
      <c r="H40" s="46"/>
    </row>
    <row r="41" spans="2:8" s="45" customFormat="1" ht="21" customHeight="1" x14ac:dyDescent="0.25">
      <c r="B41" s="48"/>
      <c r="C41" s="46"/>
      <c r="D41" s="48"/>
      <c r="E41" s="46"/>
      <c r="F41" s="46"/>
      <c r="G41" s="48"/>
      <c r="H41" s="46"/>
    </row>
    <row r="42" spans="2:8" s="45" customFormat="1" ht="21" customHeight="1" x14ac:dyDescent="0.25">
      <c r="B42" s="48"/>
      <c r="C42" s="46"/>
      <c r="D42" s="48"/>
      <c r="E42" s="46"/>
      <c r="F42" s="46"/>
      <c r="G42" s="48"/>
      <c r="H42" s="46"/>
    </row>
    <row r="43" spans="2:8" s="45" customFormat="1" ht="21" customHeight="1" x14ac:dyDescent="0.25">
      <c r="B43" s="48"/>
      <c r="C43" s="46"/>
      <c r="D43" s="48"/>
      <c r="E43" s="46"/>
      <c r="F43" s="46"/>
      <c r="G43" s="48"/>
      <c r="H43" s="46"/>
    </row>
    <row r="44" spans="2:8" s="45" customFormat="1" ht="21" customHeight="1" x14ac:dyDescent="0.25">
      <c r="B44" s="48"/>
      <c r="C44" s="46"/>
      <c r="D44" s="48"/>
      <c r="E44" s="46"/>
      <c r="F44" s="46"/>
      <c r="G44" s="48"/>
      <c r="H44" s="46"/>
    </row>
    <row r="45" spans="2:8" s="45" customFormat="1" ht="21" customHeight="1" x14ac:dyDescent="0.25">
      <c r="B45" s="48"/>
      <c r="C45" s="46"/>
      <c r="D45" s="48"/>
      <c r="E45" s="46"/>
      <c r="F45" s="46"/>
      <c r="G45" s="48"/>
      <c r="H45" s="46"/>
    </row>
    <row r="46" spans="2:8" s="45" customFormat="1" ht="21" customHeight="1" x14ac:dyDescent="0.25">
      <c r="B46" s="48"/>
      <c r="C46" s="46"/>
      <c r="D46" s="48"/>
      <c r="E46" s="46"/>
      <c r="F46" s="46"/>
      <c r="G46" s="48"/>
      <c r="H46" s="46"/>
    </row>
    <row r="47" spans="2:8" s="45" customFormat="1" ht="21" customHeight="1" x14ac:dyDescent="0.25">
      <c r="B47" s="48"/>
      <c r="C47" s="46"/>
      <c r="D47" s="48"/>
      <c r="E47" s="46"/>
      <c r="F47" s="46"/>
      <c r="G47" s="48"/>
      <c r="H47" s="46"/>
    </row>
    <row r="48" spans="2:8" s="45" customFormat="1" ht="21" customHeight="1" x14ac:dyDescent="0.25">
      <c r="B48" s="48"/>
      <c r="C48" s="46"/>
      <c r="D48" s="48"/>
      <c r="E48" s="46"/>
      <c r="F48" s="46"/>
      <c r="G48" s="48"/>
      <c r="H48" s="46"/>
    </row>
    <row r="49" spans="2:8" s="45" customFormat="1" ht="21" customHeight="1" x14ac:dyDescent="0.25">
      <c r="B49" s="48"/>
      <c r="C49" s="46"/>
      <c r="D49" s="48"/>
      <c r="E49" s="46"/>
      <c r="F49" s="46"/>
      <c r="G49" s="48"/>
      <c r="H49" s="46"/>
    </row>
    <row r="50" spans="2:8" s="45" customFormat="1" ht="21" customHeight="1" x14ac:dyDescent="0.25">
      <c r="B50" s="48"/>
      <c r="C50" s="46"/>
      <c r="D50" s="48"/>
      <c r="E50" s="46"/>
      <c r="F50" s="46"/>
      <c r="G50" s="48"/>
      <c r="H50" s="46"/>
    </row>
    <row r="51" spans="2:8" s="45" customFormat="1" ht="21" customHeight="1" x14ac:dyDescent="0.25">
      <c r="B51" s="48"/>
      <c r="C51" s="46"/>
      <c r="D51" s="48"/>
      <c r="E51" s="46"/>
      <c r="F51" s="46"/>
      <c r="G51" s="48"/>
      <c r="H51" s="46"/>
    </row>
    <row r="52" spans="2:8" s="45" customFormat="1" ht="21" customHeight="1" x14ac:dyDescent="0.25">
      <c r="B52" s="48"/>
      <c r="C52" s="46"/>
      <c r="D52" s="48"/>
      <c r="E52" s="46"/>
      <c r="F52" s="46"/>
      <c r="G52" s="48"/>
      <c r="H52" s="46"/>
    </row>
    <row r="53" spans="2:8" s="45" customFormat="1" ht="21" customHeight="1" x14ac:dyDescent="0.25">
      <c r="B53" s="48"/>
      <c r="C53" s="46"/>
      <c r="D53" s="48"/>
      <c r="E53" s="46"/>
      <c r="F53" s="46"/>
      <c r="G53" s="48"/>
      <c r="H53" s="46"/>
    </row>
    <row r="54" spans="2:8" s="45" customFormat="1" ht="21" customHeight="1" x14ac:dyDescent="0.25">
      <c r="B54" s="48"/>
      <c r="C54" s="46"/>
      <c r="D54" s="48"/>
      <c r="E54" s="46"/>
      <c r="F54" s="46"/>
      <c r="G54" s="48"/>
      <c r="H54" s="46"/>
    </row>
    <row r="55" spans="2:8" s="45" customFormat="1" ht="21" customHeight="1" x14ac:dyDescent="0.25">
      <c r="B55" s="48"/>
      <c r="C55" s="46"/>
      <c r="D55" s="48"/>
      <c r="E55" s="46"/>
      <c r="F55" s="46"/>
      <c r="G55" s="48"/>
      <c r="H55" s="46"/>
    </row>
    <row r="56" spans="2:8" s="45" customFormat="1" ht="21" customHeight="1" x14ac:dyDescent="0.25">
      <c r="B56" s="48"/>
      <c r="C56" s="46"/>
      <c r="D56" s="48"/>
      <c r="E56" s="46"/>
      <c r="F56" s="46"/>
      <c r="G56" s="48"/>
      <c r="H56" s="46"/>
    </row>
    <row r="57" spans="2:8" s="45" customFormat="1" ht="16.5" x14ac:dyDescent="0.25">
      <c r="B57" s="48"/>
      <c r="C57" s="46"/>
      <c r="D57" s="48"/>
      <c r="E57" s="46"/>
      <c r="F57" s="46"/>
      <c r="G57" s="48"/>
      <c r="H57" s="46"/>
    </row>
    <row r="58" spans="2:8" s="45" customFormat="1" ht="16.5" x14ac:dyDescent="0.25">
      <c r="B58" s="48"/>
      <c r="C58" s="46"/>
      <c r="D58" s="48"/>
      <c r="E58" s="46"/>
      <c r="F58" s="46"/>
      <c r="G58" s="48"/>
      <c r="H58" s="46"/>
    </row>
    <row r="59" spans="2:8" s="45" customFormat="1" ht="16.5" x14ac:dyDescent="0.25">
      <c r="B59" s="48"/>
      <c r="C59" s="46"/>
      <c r="D59" s="48"/>
      <c r="E59" s="46"/>
      <c r="F59" s="46"/>
      <c r="G59" s="48"/>
      <c r="H59" s="46"/>
    </row>
    <row r="60" spans="2:8" s="45" customFormat="1" ht="16.5" x14ac:dyDescent="0.25">
      <c r="B60" s="48"/>
      <c r="C60" s="46"/>
      <c r="D60" s="48"/>
      <c r="E60" s="46"/>
      <c r="F60" s="46"/>
      <c r="G60" s="48"/>
      <c r="H60" s="46"/>
    </row>
    <row r="61" spans="2:8" s="45" customFormat="1" ht="16.5" x14ac:dyDescent="0.25">
      <c r="B61" s="48"/>
      <c r="C61" s="46"/>
      <c r="D61" s="48"/>
      <c r="E61" s="46"/>
      <c r="F61" s="46"/>
      <c r="G61" s="48"/>
      <c r="H61" s="46"/>
    </row>
    <row r="62" spans="2:8" s="45" customFormat="1" ht="16.5" x14ac:dyDescent="0.25">
      <c r="B62" s="48"/>
      <c r="C62" s="46"/>
      <c r="D62" s="48"/>
      <c r="E62" s="46"/>
      <c r="F62" s="46"/>
      <c r="G62" s="48"/>
      <c r="H62" s="46"/>
    </row>
    <row r="63" spans="2:8" s="45" customFormat="1" ht="16.5" x14ac:dyDescent="0.25">
      <c r="B63" s="48"/>
      <c r="C63" s="46"/>
      <c r="D63" s="48"/>
      <c r="E63" s="46"/>
      <c r="F63" s="46"/>
      <c r="G63" s="48"/>
      <c r="H63" s="46"/>
    </row>
    <row r="64" spans="2:8" s="45" customFormat="1" ht="16.5" x14ac:dyDescent="0.25">
      <c r="B64" s="48"/>
      <c r="C64" s="46"/>
      <c r="D64" s="48"/>
      <c r="E64" s="46"/>
      <c r="F64" s="46"/>
      <c r="G64" s="48"/>
      <c r="H64" s="46"/>
    </row>
    <row r="65" spans="2:8" s="45" customFormat="1" ht="16.5" x14ac:dyDescent="0.25">
      <c r="B65" s="48"/>
      <c r="C65" s="46"/>
      <c r="D65" s="48"/>
      <c r="E65" s="46"/>
      <c r="F65" s="46"/>
      <c r="G65" s="48"/>
      <c r="H65" s="46"/>
    </row>
    <row r="66" spans="2:8" s="45" customFormat="1" ht="16.5" x14ac:dyDescent="0.25">
      <c r="B66" s="48"/>
      <c r="C66" s="46"/>
      <c r="D66" s="48"/>
      <c r="E66" s="46"/>
      <c r="F66" s="46"/>
      <c r="G66" s="48"/>
      <c r="H66" s="46"/>
    </row>
    <row r="67" spans="2:8" s="45" customFormat="1" ht="16.5" x14ac:dyDescent="0.25">
      <c r="B67" s="48"/>
      <c r="C67" s="46"/>
      <c r="D67" s="48"/>
      <c r="E67" s="46"/>
      <c r="F67" s="46"/>
      <c r="G67" s="48"/>
      <c r="H67" s="46"/>
    </row>
    <row r="68" spans="2:8" s="45" customFormat="1" ht="16.5" x14ac:dyDescent="0.25">
      <c r="B68" s="48"/>
      <c r="C68" s="46"/>
      <c r="D68" s="48"/>
      <c r="E68" s="46"/>
      <c r="F68" s="46"/>
      <c r="G68" s="48"/>
      <c r="H68" s="46"/>
    </row>
    <row r="69" spans="2:8" s="45" customFormat="1" ht="16.5" x14ac:dyDescent="0.25">
      <c r="B69" s="48"/>
      <c r="C69" s="46"/>
      <c r="D69" s="48"/>
      <c r="E69" s="46"/>
      <c r="F69" s="46"/>
      <c r="G69" s="48"/>
      <c r="H69" s="46"/>
    </row>
    <row r="70" spans="2:8" s="45" customFormat="1" ht="16.5" x14ac:dyDescent="0.25">
      <c r="B70" s="48"/>
      <c r="C70" s="46"/>
      <c r="D70" s="48"/>
      <c r="E70" s="46"/>
      <c r="F70" s="46"/>
      <c r="G70" s="48"/>
      <c r="H70" s="46"/>
    </row>
    <row r="71" spans="2:8" s="45" customFormat="1" ht="16.5" x14ac:dyDescent="0.25">
      <c r="B71" s="48"/>
      <c r="C71" s="46"/>
      <c r="D71" s="48"/>
      <c r="E71" s="46"/>
      <c r="F71" s="46"/>
      <c r="G71" s="48"/>
      <c r="H71" s="46"/>
    </row>
    <row r="72" spans="2:8" s="45" customFormat="1" ht="16.5" x14ac:dyDescent="0.25">
      <c r="B72" s="48"/>
      <c r="C72" s="46"/>
      <c r="D72" s="48"/>
      <c r="E72" s="46"/>
      <c r="F72" s="46"/>
      <c r="G72" s="48"/>
      <c r="H72" s="46"/>
    </row>
    <row r="73" spans="2:8" s="45" customFormat="1" ht="16.5" x14ac:dyDescent="0.25">
      <c r="B73" s="48"/>
      <c r="C73" s="46"/>
      <c r="D73" s="48"/>
      <c r="E73" s="46"/>
      <c r="F73" s="46"/>
      <c r="G73" s="48"/>
      <c r="H73" s="46"/>
    </row>
    <row r="74" spans="2:8" s="45" customFormat="1" ht="16.5" x14ac:dyDescent="0.25">
      <c r="B74" s="48"/>
      <c r="C74" s="46"/>
      <c r="D74" s="48"/>
      <c r="E74" s="46"/>
      <c r="F74" s="46"/>
      <c r="G74" s="48"/>
      <c r="H74" s="46"/>
    </row>
    <row r="75" spans="2:8" s="45" customFormat="1" ht="16.5" x14ac:dyDescent="0.25">
      <c r="B75" s="48"/>
      <c r="C75" s="46"/>
      <c r="D75" s="48"/>
      <c r="E75" s="46"/>
      <c r="F75" s="46"/>
      <c r="G75" s="48"/>
      <c r="H75" s="46"/>
    </row>
    <row r="76" spans="2:8" s="45" customFormat="1" ht="16.5" x14ac:dyDescent="0.25">
      <c r="B76" s="48"/>
      <c r="C76" s="46"/>
      <c r="D76" s="48"/>
      <c r="E76" s="46"/>
      <c r="F76" s="46"/>
      <c r="G76" s="48"/>
      <c r="H76" s="46"/>
    </row>
    <row r="77" spans="2:8" s="45" customFormat="1" ht="16.5" x14ac:dyDescent="0.25">
      <c r="B77" s="48"/>
      <c r="C77" s="46"/>
      <c r="D77" s="48"/>
      <c r="E77" s="46"/>
      <c r="F77" s="46"/>
      <c r="G77" s="48"/>
      <c r="H77" s="46"/>
    </row>
    <row r="78" spans="2:8" s="45" customFormat="1" ht="16.5" x14ac:dyDescent="0.25">
      <c r="B78" s="48"/>
      <c r="C78" s="46"/>
      <c r="D78" s="48"/>
      <c r="E78" s="46"/>
      <c r="F78" s="46"/>
      <c r="G78" s="48"/>
      <c r="H78" s="46"/>
    </row>
    <row r="79" spans="2:8" s="45" customFormat="1" ht="16.5" x14ac:dyDescent="0.25">
      <c r="B79" s="48"/>
      <c r="C79" s="46"/>
      <c r="D79" s="48"/>
      <c r="E79" s="46"/>
      <c r="F79" s="46"/>
      <c r="G79" s="48"/>
      <c r="H79" s="46"/>
    </row>
    <row r="80" spans="2:8" s="45" customFormat="1" ht="16.5" x14ac:dyDescent="0.25">
      <c r="B80" s="48"/>
      <c r="C80" s="46"/>
      <c r="D80" s="48"/>
      <c r="E80" s="46"/>
      <c r="F80" s="46"/>
      <c r="G80" s="48"/>
      <c r="H80" s="46"/>
    </row>
    <row r="81" spans="2:8" s="45" customFormat="1" ht="16.5" x14ac:dyDescent="0.25">
      <c r="B81" s="48"/>
      <c r="C81" s="46"/>
      <c r="D81" s="48"/>
      <c r="E81" s="46"/>
      <c r="F81" s="46"/>
      <c r="G81" s="48"/>
      <c r="H81" s="46"/>
    </row>
    <row r="82" spans="2:8" s="45" customFormat="1" ht="16.5" x14ac:dyDescent="0.25">
      <c r="B82" s="48"/>
      <c r="C82" s="46"/>
      <c r="D82" s="48"/>
      <c r="E82" s="46"/>
      <c r="F82" s="46"/>
      <c r="G82" s="48"/>
      <c r="H82" s="46"/>
    </row>
    <row r="83" spans="2:8" s="45" customFormat="1" ht="16.5" x14ac:dyDescent="0.25">
      <c r="B83" s="48"/>
      <c r="C83" s="46"/>
      <c r="D83" s="48"/>
      <c r="E83" s="46"/>
      <c r="F83" s="46"/>
      <c r="G83" s="48"/>
      <c r="H83" s="46"/>
    </row>
    <row r="84" spans="2:8" s="45" customFormat="1" ht="16.5" x14ac:dyDescent="0.25">
      <c r="B84" s="48"/>
      <c r="C84" s="46"/>
      <c r="D84" s="48"/>
      <c r="E84" s="46"/>
      <c r="F84" s="46"/>
      <c r="G84" s="48"/>
      <c r="H84" s="46"/>
    </row>
    <row r="85" spans="2:8" s="45" customFormat="1" ht="16.5" x14ac:dyDescent="0.25">
      <c r="B85" s="48"/>
      <c r="C85" s="46"/>
      <c r="D85" s="48"/>
      <c r="E85" s="46"/>
      <c r="F85" s="46"/>
      <c r="G85" s="48"/>
      <c r="H85" s="46"/>
    </row>
    <row r="86" spans="2:8" s="45" customFormat="1" ht="16.5" x14ac:dyDescent="0.25">
      <c r="B86" s="48"/>
      <c r="C86" s="46"/>
      <c r="D86" s="48"/>
      <c r="E86" s="46"/>
      <c r="F86" s="46"/>
      <c r="G86" s="48"/>
      <c r="H86" s="46"/>
    </row>
    <row r="87" spans="2:8" s="45" customFormat="1" ht="16.5" x14ac:dyDescent="0.25">
      <c r="B87" s="48"/>
      <c r="C87" s="46"/>
      <c r="D87" s="48"/>
      <c r="E87" s="46"/>
      <c r="F87" s="46"/>
      <c r="G87" s="48"/>
      <c r="H87" s="46"/>
    </row>
    <row r="88" spans="2:8" s="45" customFormat="1" ht="16.5" x14ac:dyDescent="0.25">
      <c r="B88" s="48"/>
      <c r="C88" s="46"/>
      <c r="D88" s="48"/>
      <c r="E88" s="46"/>
      <c r="F88" s="46"/>
      <c r="G88" s="48"/>
      <c r="H88" s="46"/>
    </row>
    <row r="89" spans="2:8" s="45" customFormat="1" ht="16.5" x14ac:dyDescent="0.25">
      <c r="B89" s="48"/>
      <c r="C89" s="46"/>
      <c r="D89" s="48"/>
      <c r="E89" s="46"/>
      <c r="F89" s="46"/>
      <c r="G89" s="48"/>
      <c r="H89" s="46"/>
    </row>
    <row r="90" spans="2:8" s="45" customFormat="1" ht="16.5" x14ac:dyDescent="0.25">
      <c r="B90" s="48"/>
      <c r="C90" s="46"/>
      <c r="D90" s="48"/>
      <c r="E90" s="46"/>
      <c r="F90" s="46"/>
      <c r="G90" s="48"/>
      <c r="H90" s="46"/>
    </row>
    <row r="91" spans="2:8" s="45" customFormat="1" ht="16.5" x14ac:dyDescent="0.25">
      <c r="B91" s="48"/>
      <c r="C91" s="46"/>
      <c r="D91" s="48"/>
      <c r="E91" s="46"/>
      <c r="F91" s="46"/>
      <c r="G91" s="48"/>
      <c r="H91" s="46"/>
    </row>
    <row r="92" spans="2:8" s="45" customFormat="1" ht="16.5" x14ac:dyDescent="0.25">
      <c r="B92" s="48"/>
      <c r="C92" s="46"/>
      <c r="D92" s="48"/>
      <c r="E92" s="46"/>
      <c r="F92" s="46"/>
      <c r="G92" s="48"/>
      <c r="H92" s="46"/>
    </row>
    <row r="93" spans="2:8" s="45" customFormat="1" ht="16.5" x14ac:dyDescent="0.25">
      <c r="B93" s="48"/>
      <c r="C93" s="46"/>
      <c r="D93" s="48"/>
      <c r="E93" s="46"/>
      <c r="F93" s="46"/>
      <c r="G93" s="48"/>
      <c r="H93" s="46"/>
    </row>
    <row r="94" spans="2:8" s="45" customFormat="1" ht="16.5" x14ac:dyDescent="0.25">
      <c r="B94" s="48"/>
      <c r="C94" s="46"/>
      <c r="D94" s="48"/>
      <c r="E94" s="46"/>
      <c r="F94" s="46"/>
      <c r="G94" s="48"/>
      <c r="H94" s="46"/>
    </row>
    <row r="95" spans="2:8" s="45" customFormat="1" ht="16.5" x14ac:dyDescent="0.25">
      <c r="B95" s="48"/>
      <c r="C95" s="46"/>
      <c r="D95" s="48"/>
      <c r="E95" s="46"/>
      <c r="F95" s="46"/>
      <c r="G95" s="48"/>
      <c r="H95" s="46"/>
    </row>
    <row r="96" spans="2:8" s="45" customFormat="1" ht="16.5" x14ac:dyDescent="0.25">
      <c r="B96" s="48"/>
      <c r="C96" s="46"/>
      <c r="D96" s="48"/>
      <c r="E96" s="46"/>
      <c r="F96" s="46"/>
      <c r="G96" s="48"/>
      <c r="H96" s="46"/>
    </row>
    <row r="97" spans="2:8" s="45" customFormat="1" ht="16.5" x14ac:dyDescent="0.25">
      <c r="B97" s="48"/>
      <c r="C97" s="46"/>
      <c r="D97" s="48"/>
      <c r="E97" s="46"/>
      <c r="F97" s="46"/>
      <c r="G97" s="48"/>
      <c r="H97" s="46"/>
    </row>
    <row r="98" spans="2:8" s="45" customFormat="1" ht="16.5" x14ac:dyDescent="0.25">
      <c r="B98" s="48"/>
      <c r="C98" s="46"/>
      <c r="D98" s="48"/>
      <c r="E98" s="46"/>
      <c r="F98" s="46"/>
      <c r="G98" s="48"/>
      <c r="H98" s="46"/>
    </row>
    <row r="99" spans="2:8" s="45" customFormat="1" ht="16.5" x14ac:dyDescent="0.25">
      <c r="B99" s="48"/>
      <c r="C99" s="46"/>
      <c r="D99" s="48"/>
      <c r="E99" s="46"/>
      <c r="F99" s="46"/>
      <c r="G99" s="48"/>
      <c r="H99" s="46"/>
    </row>
    <row r="100" spans="2:8" s="45" customFormat="1" ht="16.5" x14ac:dyDescent="0.25">
      <c r="B100" s="48"/>
      <c r="C100" s="46"/>
      <c r="D100" s="48"/>
      <c r="E100" s="46"/>
      <c r="F100" s="46"/>
      <c r="G100" s="48"/>
      <c r="H100" s="46"/>
    </row>
    <row r="101" spans="2:8" s="45" customFormat="1" ht="16.5" x14ac:dyDescent="0.25">
      <c r="B101" s="48"/>
      <c r="C101" s="46"/>
      <c r="D101" s="48"/>
      <c r="E101" s="46"/>
      <c r="F101" s="46"/>
      <c r="G101" s="48"/>
      <c r="H101" s="46"/>
    </row>
    <row r="102" spans="2:8" s="45" customFormat="1" x14ac:dyDescent="0.25">
      <c r="B102" s="70"/>
      <c r="C102" s="42"/>
      <c r="D102" s="70"/>
      <c r="E102" s="42"/>
      <c r="F102" s="42"/>
      <c r="G102" s="48"/>
      <c r="H102" s="46"/>
    </row>
    <row r="103" spans="2:8" s="45" customFormat="1" x14ac:dyDescent="0.25">
      <c r="B103" s="70"/>
      <c r="C103" s="42"/>
      <c r="D103" s="70"/>
      <c r="E103" s="42"/>
      <c r="F103" s="42"/>
      <c r="G103" s="48"/>
      <c r="H103" s="46"/>
    </row>
    <row r="104" spans="2:8" s="45" customFormat="1" x14ac:dyDescent="0.25">
      <c r="B104" s="70"/>
      <c r="C104" s="42"/>
      <c r="D104" s="70"/>
      <c r="E104" s="42"/>
      <c r="F104" s="42"/>
      <c r="G104" s="48"/>
      <c r="H104" s="46"/>
    </row>
    <row r="105" spans="2:8" s="45" customFormat="1" x14ac:dyDescent="0.25">
      <c r="B105" s="70"/>
      <c r="C105" s="42"/>
      <c r="D105" s="70"/>
      <c r="E105" s="42"/>
      <c r="F105" s="42"/>
      <c r="G105" s="48"/>
      <c r="H105" s="46"/>
    </row>
    <row r="106" spans="2:8" s="45" customFormat="1" x14ac:dyDescent="0.25">
      <c r="B106" s="70"/>
      <c r="C106" s="42"/>
      <c r="D106" s="70"/>
      <c r="E106" s="42"/>
      <c r="F106" s="42"/>
      <c r="G106" s="48"/>
      <c r="H106" s="46"/>
    </row>
    <row r="107" spans="2:8" s="45" customFormat="1" x14ac:dyDescent="0.25">
      <c r="B107" s="70"/>
      <c r="C107" s="42"/>
      <c r="D107" s="70"/>
      <c r="E107" s="42"/>
      <c r="F107" s="42"/>
      <c r="G107" s="48"/>
      <c r="H107" s="46"/>
    </row>
    <row r="108" spans="2:8" s="45" customFormat="1" x14ac:dyDescent="0.25">
      <c r="B108" s="70"/>
      <c r="C108" s="42"/>
      <c r="D108" s="70"/>
      <c r="E108" s="42"/>
      <c r="F108" s="42"/>
      <c r="G108" s="48"/>
      <c r="H108" s="46"/>
    </row>
    <row r="109" spans="2:8" s="45" customFormat="1" x14ac:dyDescent="0.25">
      <c r="B109" s="70"/>
      <c r="C109" s="42"/>
      <c r="D109" s="70"/>
      <c r="E109" s="42"/>
      <c r="F109" s="42"/>
      <c r="G109" s="70"/>
      <c r="H109" s="46"/>
    </row>
    <row r="110" spans="2:8" s="45" customFormat="1" x14ac:dyDescent="0.25">
      <c r="B110" s="70"/>
      <c r="C110" s="42"/>
      <c r="D110" s="70"/>
      <c r="E110" s="42"/>
      <c r="F110" s="42"/>
      <c r="G110" s="70"/>
      <c r="H110" s="46"/>
    </row>
  </sheetData>
  <protectedRanges>
    <protectedRange sqref="D16:D17" name="Rango2"/>
    <protectedRange sqref="C1" name="Rango1"/>
  </protectedRanges>
  <mergeCells count="1">
    <mergeCell ref="C1:H3"/>
  </mergeCells>
  <pageMargins left="0.7" right="0.7" top="0.75" bottom="0.75" header="0.3" footer="0.3"/>
  <pageSetup paperSize="9" orientation="portrait" r:id="rId1"/>
  <drawing r:id="rId2"/>
  <picture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D6E8-D7B4-4CC8-8717-46E32C8EB35E}">
  <sheetPr codeName="Hoja8"/>
  <dimension ref="A1:T208"/>
  <sheetViews>
    <sheetView showGridLines="0" zoomScale="103" zoomScaleNormal="103" workbookViewId="0">
      <selection activeCell="I9" sqref="I9:I10"/>
    </sheetView>
  </sheetViews>
  <sheetFormatPr baseColWidth="10" defaultColWidth="0" defaultRowHeight="15" customHeight="1" x14ac:dyDescent="0.25"/>
  <cols>
    <col min="1" max="1" width="9" style="37" customWidth="1"/>
    <col min="2" max="2" width="11.28515625" style="41" customWidth="1"/>
    <col min="3" max="3" width="6.28515625" style="37" customWidth="1"/>
    <col min="4" max="4" width="9.7109375" style="37" customWidth="1"/>
    <col min="5" max="5" width="17.7109375" style="37" customWidth="1"/>
    <col min="6" max="6" width="11.85546875" style="37" customWidth="1"/>
    <col min="7" max="7" width="11.7109375" style="41" customWidth="1"/>
    <col min="8" max="11" width="11.28515625" style="37" customWidth="1"/>
    <col min="12" max="12" width="11.28515625" style="41" customWidth="1"/>
    <col min="13" max="14" width="11.28515625" style="37" customWidth="1"/>
    <col min="15" max="15" width="16.140625" style="37" customWidth="1"/>
    <col min="16" max="16" width="10.28515625" style="37" customWidth="1"/>
    <col min="17" max="20" width="11.28515625" style="37" hidden="1" customWidth="1"/>
    <col min="21" max="16384" width="0" style="37" hidden="1"/>
  </cols>
  <sheetData>
    <row r="1" spans="1:20" customFormat="1" ht="18.75" customHeight="1" x14ac:dyDescent="0.25">
      <c r="A1" s="1"/>
      <c r="B1" s="2"/>
      <c r="C1" s="104" t="s">
        <v>31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23"/>
      <c r="P1" s="23"/>
      <c r="Q1" s="23"/>
      <c r="R1" s="23"/>
      <c r="S1" s="23"/>
      <c r="T1" s="23"/>
    </row>
    <row r="2" spans="1:20" customFormat="1" ht="18.75" customHeight="1" x14ac:dyDescent="0.25">
      <c r="A2" s="4"/>
      <c r="B2" s="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32"/>
      <c r="P2" s="32"/>
      <c r="Q2" s="32"/>
      <c r="R2" s="32"/>
      <c r="S2" s="32"/>
      <c r="T2" s="32"/>
    </row>
    <row r="3" spans="1:20" customFormat="1" ht="18.75" customHeight="1" thickBot="1" x14ac:dyDescent="0.3">
      <c r="A3" s="4"/>
      <c r="B3" s="5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33"/>
      <c r="P3" s="33"/>
      <c r="Q3" s="33"/>
      <c r="R3" s="33"/>
      <c r="S3" s="33"/>
      <c r="T3" s="33"/>
    </row>
    <row r="4" spans="1:20" ht="15" customHeight="1" thickTop="1" x14ac:dyDescent="0.25">
      <c r="A4" s="39"/>
      <c r="B4" s="39"/>
      <c r="C4" s="38"/>
      <c r="D4" s="38"/>
      <c r="E4" s="38"/>
      <c r="F4" s="38"/>
      <c r="G4" s="38"/>
      <c r="H4" s="38"/>
      <c r="I4" s="38"/>
      <c r="J4" s="38"/>
      <c r="L4" s="37"/>
    </row>
    <row r="5" spans="1:20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L5" s="37"/>
    </row>
    <row r="6" spans="1:20" ht="25.5" customHeight="1" x14ac:dyDescent="0.25">
      <c r="A6" s="38"/>
      <c r="B6" s="54" t="s">
        <v>32</v>
      </c>
      <c r="C6" s="38"/>
      <c r="D6" s="86">
        <v>3</v>
      </c>
      <c r="E6" s="85" t="s">
        <v>24</v>
      </c>
      <c r="F6" s="86" t="s">
        <v>29</v>
      </c>
      <c r="G6" s="17"/>
      <c r="H6" s="38"/>
      <c r="I6" s="38"/>
      <c r="J6" s="38"/>
      <c r="L6" s="37"/>
    </row>
    <row r="7" spans="1:20" s="51" customFormat="1" ht="15" customHeight="1" x14ac:dyDescent="0.25">
      <c r="A7" s="50"/>
      <c r="B7" s="42"/>
      <c r="C7" s="50"/>
      <c r="D7" s="50"/>
      <c r="E7" s="50"/>
      <c r="F7" s="50"/>
      <c r="G7" s="50"/>
      <c r="H7" s="50"/>
      <c r="I7" s="50"/>
      <c r="J7" s="50"/>
    </row>
    <row r="8" spans="1:20" s="51" customFormat="1" ht="15" customHeight="1" thickBot="1" x14ac:dyDescent="0.3">
      <c r="A8" s="50"/>
      <c r="B8" s="50"/>
      <c r="C8" s="50"/>
      <c r="D8" s="52"/>
      <c r="E8" s="50"/>
      <c r="F8" s="50"/>
      <c r="G8" s="50"/>
      <c r="H8" s="50"/>
      <c r="I8" s="50"/>
      <c r="J8" s="50"/>
    </row>
    <row r="9" spans="1:20" s="51" customFormat="1" ht="24" customHeight="1" x14ac:dyDescent="0.25">
      <c r="A9" s="50"/>
      <c r="B9" s="131"/>
      <c r="C9" s="132"/>
      <c r="D9" s="132"/>
      <c r="E9" s="132"/>
      <c r="F9" s="132"/>
      <c r="G9" s="132"/>
      <c r="H9" s="133"/>
      <c r="I9" s="129" t="s">
        <v>42</v>
      </c>
      <c r="J9" s="127">
        <v>3</v>
      </c>
      <c r="K9" s="132"/>
      <c r="L9" s="132"/>
      <c r="M9" s="132"/>
      <c r="N9" s="132"/>
      <c r="O9" s="137"/>
    </row>
    <row r="10" spans="1:20" s="51" customFormat="1" ht="15" customHeight="1" x14ac:dyDescent="0.25">
      <c r="A10" s="50"/>
      <c r="B10" s="134"/>
      <c r="C10" s="135"/>
      <c r="D10" s="135"/>
      <c r="E10" s="135"/>
      <c r="F10" s="135"/>
      <c r="G10" s="135"/>
      <c r="H10" s="136"/>
      <c r="I10" s="130"/>
      <c r="J10" s="128"/>
      <c r="K10" s="135"/>
      <c r="L10" s="135"/>
      <c r="M10" s="135"/>
      <c r="N10" s="135"/>
      <c r="O10" s="138"/>
    </row>
    <row r="11" spans="1:20" s="51" customFormat="1" ht="27.75" customHeight="1" x14ac:dyDescent="0.25">
      <c r="A11" s="50"/>
      <c r="B11" s="154" t="s">
        <v>34</v>
      </c>
      <c r="C11" s="128"/>
      <c r="D11" s="128"/>
      <c r="E11" s="128"/>
      <c r="F11" s="128"/>
      <c r="G11" s="128" t="s">
        <v>35</v>
      </c>
      <c r="H11" s="128"/>
      <c r="I11" s="155"/>
      <c r="J11" s="128"/>
      <c r="K11" s="128"/>
      <c r="L11" s="128" t="s">
        <v>36</v>
      </c>
      <c r="M11" s="128"/>
      <c r="N11" s="128"/>
      <c r="O11" s="156"/>
    </row>
    <row r="12" spans="1:20" s="51" customFormat="1" ht="29.25" customHeight="1" thickBot="1" x14ac:dyDescent="0.3">
      <c r="A12" s="50"/>
      <c r="B12" s="87" t="s">
        <v>32</v>
      </c>
      <c r="C12" s="152" t="s">
        <v>37</v>
      </c>
      <c r="D12" s="152"/>
      <c r="E12" s="152"/>
      <c r="F12" s="152"/>
      <c r="G12" s="88" t="s">
        <v>32</v>
      </c>
      <c r="H12" s="152" t="s">
        <v>37</v>
      </c>
      <c r="I12" s="152"/>
      <c r="J12" s="152"/>
      <c r="K12" s="152"/>
      <c r="L12" s="88" t="s">
        <v>32</v>
      </c>
      <c r="M12" s="152" t="s">
        <v>37</v>
      </c>
      <c r="N12" s="152"/>
      <c r="O12" s="153"/>
    </row>
    <row r="13" spans="1:20" s="51" customFormat="1" ht="20.25" customHeight="1" x14ac:dyDescent="0.25">
      <c r="A13" s="50"/>
      <c r="B13" s="80" cm="1">
        <f t="array" ref="B13">IFERROR(INDEX(Tabla9[ID],SMALL(IF("Pendiente"=Tabla9[ESTADO],MATCH(ROW(Tabla9[ESTADO]),ROW(Tabla9[ESTADO]))," "),ROWS($A$1:A1)))," ")</f>
        <v>2</v>
      </c>
      <c r="C13" s="150" t="str" cm="1">
        <f t="array" ref="C13">IFERROR(IF(_xlfn.XLOOKUP(_xlfn.XLOOKUP(B13,Tabla9[ID],Tabla9[ID_H.U]),Tabla8[ID],Tabla8[SPRINT])=$J$9,INDEX(Tabla9[TAREA],SMALL(IF("Pendiente"=Tabla9[ESTADO],MATCH(ROW(Tabla9[ESTADO]),ROW(Tabla9[ESTADO]))," "),ROWS($A$1:A1)))," ")," ")</f>
        <v>Tarea B</v>
      </c>
      <c r="D13" s="146"/>
      <c r="E13" s="146"/>
      <c r="F13" s="151"/>
      <c r="G13" s="78" cm="1">
        <f t="array" ref="G13">IFERROR(INDEX(Tabla9[ID],SMALL(IF("En progreso"=Tabla9[ESTADO],MATCH(ROW(Tabla9[ESTADO]),ROW(Tabla9[ESTADO]))," "),ROWS($A$1:A1)))," ")</f>
        <v>4</v>
      </c>
      <c r="H13" s="150" t="str" cm="1">
        <f t="array" ref="H13">IFERROR(IF(_xlfn.XLOOKUP(_xlfn.XLOOKUP(G13,Tabla9[ID],Tabla9[ID_H.U]),Tabla8[ID],Tabla8[SPRINT])=$J$9,INDEX(Tabla9[TAREA],SMALL(IF("En progreso"=Tabla9[ESTADO],MATCH(ROW(Tabla9[ESTADO]),ROW(Tabla9[ESTADO]))," "),ROWS($A$1:A1)))," ")," ")</f>
        <v xml:space="preserve"> </v>
      </c>
      <c r="I13" s="146"/>
      <c r="J13" s="146"/>
      <c r="K13" s="151"/>
      <c r="L13" s="77" cm="1">
        <f t="array" ref="L13">IFERROR(INDEX(Tabla9[ID],SMALL(IF("Finalizado"=Tabla9[ESTADO],MATCH(ROW(Tabla9[ESTADO]),ROW(Tabla9[ESTADO]))," "),ROWS($A$1:A1)))," ")</f>
        <v>3</v>
      </c>
      <c r="M13" s="140" t="str" cm="1">
        <f t="array" ref="M13">IFERROR(IF(_xlfn.XLOOKUP(_xlfn.XLOOKUP(L13,Tabla9[ID],Tabla9[ID_H.U]),Tabla8[ID],Tabla8[SPRINT])=$J$9,INDEX(Tabla9[TAREA],SMALL(IF("Finalizado"=Tabla9[ESTADO],MATCH(ROW(Tabla9[ESTADO]),ROW(Tabla9[ESTADO]))," "),ROWS($A$1:A1)))," ")," ")</f>
        <v xml:space="preserve"> </v>
      </c>
      <c r="N13" s="141"/>
      <c r="O13" s="142"/>
    </row>
    <row r="14" spans="1:20" s="51" customFormat="1" ht="20.25" customHeight="1" x14ac:dyDescent="0.25">
      <c r="A14" s="50"/>
      <c r="B14" s="80" cm="1">
        <f t="array" ref="B14">IFERROR(INDEX(Tabla9[ID],SMALL(IF("Pendiente"=Tabla9[ESTADO],MATCH(ROW(Tabla9[ESTADO]),ROW(Tabla9[ESTADO]))," "),ROWS($A$1:A2)))," ")</f>
        <v>1</v>
      </c>
      <c r="C14" s="150" t="str" cm="1">
        <f t="array" ref="C14">IFERROR(IF(_xlfn.XLOOKUP(_xlfn.XLOOKUP(B14,Tabla9[ID],Tabla9[ID_H.U]),Tabla8[ID],Tabla8[SPRINT])=$J$9,INDEX(Tabla9[TAREA],SMALL(IF("Pendiente"=Tabla9[ESTADO],MATCH(ROW(Tabla9[ESTADO]),ROW(Tabla9[ESTADO]))," "),ROWS($A$1:A2)))," ")," ")</f>
        <v>Tarea A</v>
      </c>
      <c r="D14" s="146"/>
      <c r="E14" s="146"/>
      <c r="F14" s="151"/>
      <c r="G14" s="78" t="str" cm="1">
        <f t="array" ref="G14">IFERROR(INDEX(Tabla9[ID],SMALL(IF("En progreso"=Tabla9[ESTADO],MATCH(ROW(Tabla9[ESTADO]),ROW(Tabla9[ESTADO]))," "),ROWS($A$1:A2)))," ")</f>
        <v xml:space="preserve"> </v>
      </c>
      <c r="H14" s="150" t="str" cm="1">
        <f t="array" ref="H14">IFERROR(IF(_xlfn.XLOOKUP(_xlfn.XLOOKUP(G14,Tabla9[ID],Tabla9[ID_H.U]),Tabla8[ID],Tabla8[SPRINT])=$J$9,INDEX(Tabla9[TAREA],SMALL(IF("En progreso"=Tabla9[ESTADO],MATCH(ROW(Tabla9[ESTADO]),ROW(Tabla9[ESTADO]))," "),ROWS($A$1:A2)))," ")," ")</f>
        <v xml:space="preserve"> </v>
      </c>
      <c r="I14" s="146"/>
      <c r="J14" s="146"/>
      <c r="K14" s="151"/>
      <c r="L14" s="77" t="str" cm="1">
        <f t="array" ref="L14">IFERROR(INDEX(Tabla9[ID],SMALL(IF("Finalizado"=Tabla9[ESTADO],MATCH(ROW(Tabla9[ESTADO]),ROW(Tabla9[ESTADO]))," "),ROWS($A$1:A2)))," ")</f>
        <v xml:space="preserve"> </v>
      </c>
      <c r="M14" s="140" t="str" cm="1">
        <f t="array" ref="M14">IFERROR(IF(_xlfn.XLOOKUP(_xlfn.XLOOKUP(L14,Tabla9[ID],Tabla9[ID_H.U]),Tabla8[ID],Tabla8[SPRINT])=$J$9,INDEX(Tabla9[TAREA],SMALL(IF("Finalizado"=Tabla9[ESTADO],MATCH(ROW(Tabla9[ESTADO]),ROW(Tabla9[ESTADO]))," "),ROWS($A$1:A2)))," ")," ")</f>
        <v xml:space="preserve"> </v>
      </c>
      <c r="N14" s="141"/>
      <c r="O14" s="142"/>
    </row>
    <row r="15" spans="1:20" s="51" customFormat="1" ht="20.25" customHeight="1" x14ac:dyDescent="0.25">
      <c r="B15" s="80" t="str" cm="1">
        <f t="array" ref="B15">IFERROR(INDEX(Tabla9[ID],SMALL(IF("Pendiente"=Tabla9[ESTADO],MATCH(ROW(Tabla9[ESTADO]),ROW(Tabla9[ESTADO]))," "),ROWS($A$1:A3)))," ")</f>
        <v xml:space="preserve"> </v>
      </c>
      <c r="C15" s="150" t="str" cm="1">
        <f t="array" ref="C15">IFERROR(IF(_xlfn.XLOOKUP(_xlfn.XLOOKUP(B15,Tabla9[ID],Tabla9[ID_H.U]),Tabla8[ID],Tabla8[SPRINT])=$J$9,INDEX(Tabla9[TAREA],SMALL(IF("Pendiente"=Tabla9[ESTADO],MATCH(ROW(Tabla9[ESTADO]),ROW(Tabla9[ESTADO]))," "),ROWS($A$1:A3)))," ")," ")</f>
        <v xml:space="preserve"> </v>
      </c>
      <c r="D15" s="146"/>
      <c r="E15" s="146"/>
      <c r="F15" s="151"/>
      <c r="G15" s="78" t="str" cm="1">
        <f t="array" ref="G15">IFERROR(INDEX(Tabla9[ID],SMALL(IF("En progreso"=Tabla9[ESTADO],MATCH(ROW(Tabla9[ESTADO]),ROW(Tabla9[ESTADO]))," "),ROWS($A$1:A3)))," ")</f>
        <v xml:space="preserve"> </v>
      </c>
      <c r="H15" s="150" t="str" cm="1">
        <f t="array" ref="H15">IFERROR(IF(_xlfn.XLOOKUP(_xlfn.XLOOKUP(G15,Tabla9[ID],Tabla9[ID_H.U]),Tabla8[ID],Tabla8[SPRINT])=$J$9,INDEX(Tabla9[TAREA],SMALL(IF("En progreso"=Tabla9[ESTADO],MATCH(ROW(Tabla9[ESTADO]),ROW(Tabla9[ESTADO]))," "),ROWS($A$1:A3)))," ")," ")</f>
        <v xml:space="preserve"> </v>
      </c>
      <c r="I15" s="146"/>
      <c r="J15" s="146"/>
      <c r="K15" s="151"/>
      <c r="L15" s="77" t="str" cm="1">
        <f t="array" ref="L15">IFERROR(INDEX(Tabla9[ID],SMALL(IF("Finalizado"=Tabla9[ESTADO],MATCH(ROW(Tabla9[ESTADO]),ROW(Tabla9[ESTADO]))," "),ROWS($A$1:A3)))," ")</f>
        <v xml:space="preserve"> </v>
      </c>
      <c r="M15" s="140" t="str" cm="1">
        <f t="array" ref="M15">IFERROR(IF(_xlfn.XLOOKUP(_xlfn.XLOOKUP(L15,Tabla9[ID],Tabla9[ID_H.U]),Tabla8[ID],Tabla8[SPRINT])=$J$9,INDEX(Tabla9[TAREA],SMALL(IF("Finalizado"=Tabla9[ESTADO],MATCH(ROW(Tabla9[ESTADO]),ROW(Tabla9[ESTADO]))," "),ROWS($A$1:A3)))," ")," ")</f>
        <v xml:space="preserve"> </v>
      </c>
      <c r="N15" s="141"/>
      <c r="O15" s="142"/>
    </row>
    <row r="16" spans="1:20" s="51" customFormat="1" ht="20.25" customHeight="1" x14ac:dyDescent="0.25">
      <c r="B16" s="80" t="str" cm="1">
        <f t="array" ref="B16">IFERROR(INDEX(Tabla9[ID],SMALL(IF("Pendiente"=Tabla9[ESTADO],MATCH(ROW(Tabla9[ESTADO]),ROW(Tabla9[ESTADO]))," "),ROWS($A$1:A4)))," ")</f>
        <v xml:space="preserve"> </v>
      </c>
      <c r="C16" s="150" t="str" cm="1">
        <f t="array" ref="C16">IFERROR(IF(_xlfn.XLOOKUP(_xlfn.XLOOKUP(B16,Tabla9[ID],Tabla9[ID_H.U]),Tabla8[ID],Tabla8[SPRINT])=$J$9,INDEX(Tabla9[TAREA],SMALL(IF("Pendiente"=Tabla9[ESTADO],MATCH(ROW(Tabla9[ESTADO]),ROW(Tabla9[ESTADO]))," "),ROWS($A$1:A4)))," ")," ")</f>
        <v xml:space="preserve"> </v>
      </c>
      <c r="D16" s="146"/>
      <c r="E16" s="146"/>
      <c r="F16" s="151"/>
      <c r="G16" s="78" t="str" cm="1">
        <f t="array" ref="G16">IFERROR(INDEX(Tabla9[ID],SMALL(IF("En progreso"=Tabla9[ESTADO],MATCH(ROW(Tabla9[ESTADO]),ROW(Tabla9[ESTADO]))," "),ROWS($A$1:A4)))," ")</f>
        <v xml:space="preserve"> </v>
      </c>
      <c r="H16" s="150" t="str" cm="1">
        <f t="array" ref="H16">IFERROR(IF(_xlfn.XLOOKUP(_xlfn.XLOOKUP(G16,Tabla9[ID],Tabla9[ID_H.U]),Tabla8[ID],Tabla8[SPRINT])=$J$9,INDEX(Tabla9[TAREA],SMALL(IF("En progreso"=Tabla9[ESTADO],MATCH(ROW(Tabla9[ESTADO]),ROW(Tabla9[ESTADO]))," "),ROWS($A$1:A4)))," ")," ")</f>
        <v xml:space="preserve"> </v>
      </c>
      <c r="I16" s="146"/>
      <c r="J16" s="146"/>
      <c r="K16" s="151"/>
      <c r="L16" s="77" t="str" cm="1">
        <f t="array" ref="L16">IFERROR(INDEX(Tabla9[ID],SMALL(IF("Finalizado"=Tabla9[ESTADO],MATCH(ROW(Tabla9[ESTADO]),ROW(Tabla9[ESTADO]))," "),ROWS($A$1:A4)))," ")</f>
        <v xml:space="preserve"> </v>
      </c>
      <c r="M16" s="140" t="str" cm="1">
        <f t="array" ref="M16">IFERROR(IF(_xlfn.XLOOKUP(_xlfn.XLOOKUP(L16,Tabla9[ID],Tabla9[ID_H.U]),Tabla8[ID],Tabla8[SPRINT])=$J$9,INDEX(Tabla9[TAREA],SMALL(IF("Finalizado"=Tabla9[ESTADO],MATCH(ROW(Tabla9[ESTADO]),ROW(Tabla9[ESTADO]))," "),ROWS($A$1:A4)))," ")," ")</f>
        <v xml:space="preserve"> </v>
      </c>
      <c r="N16" s="141"/>
      <c r="O16" s="142"/>
    </row>
    <row r="17" spans="2:15" s="51" customFormat="1" ht="20.25" customHeight="1" x14ac:dyDescent="0.25">
      <c r="B17" s="80" t="str" cm="1">
        <f t="array" ref="B17">IFERROR(INDEX(Tabla9[ID],SMALL(IF("Pendiente"=Tabla9[ESTADO],MATCH(ROW(Tabla9[ESTADO]),ROW(Tabla9[ESTADO]))," "),ROWS($A$1:A5)))," ")</f>
        <v xml:space="preserve"> </v>
      </c>
      <c r="C17" s="150" t="str" cm="1">
        <f t="array" ref="C17">IFERROR(IF(_xlfn.XLOOKUP(_xlfn.XLOOKUP(B17,Tabla9[ID],Tabla9[ID_H.U]),Tabla8[ID],Tabla8[SPRINT])=$J$9,INDEX(Tabla9[TAREA],SMALL(IF("Pendiente"=Tabla9[ESTADO],MATCH(ROW(Tabla9[ESTADO]),ROW(Tabla9[ESTADO]))," "),ROWS($A$1:A5)))," ")," ")</f>
        <v xml:space="preserve"> </v>
      </c>
      <c r="D17" s="146"/>
      <c r="E17" s="146"/>
      <c r="F17" s="151"/>
      <c r="G17" s="78" t="str" cm="1">
        <f t="array" ref="G17">IFERROR(INDEX(Tabla9[ID],SMALL(IF("En progreso"=Tabla9[ESTADO],MATCH(ROW(Tabla9[ESTADO]),ROW(Tabla9[ESTADO]))," "),ROWS($A$1:A5)))," ")</f>
        <v xml:space="preserve"> </v>
      </c>
      <c r="H17" s="150" t="str" cm="1">
        <f t="array" ref="H17">IFERROR(IF(_xlfn.XLOOKUP(_xlfn.XLOOKUP(G17,Tabla9[ID],Tabla9[ID_H.U]),Tabla8[ID],Tabla8[SPRINT])=$J$9,INDEX(Tabla9[TAREA],SMALL(IF("En progreso"=Tabla9[ESTADO],MATCH(ROW(Tabla9[ESTADO]),ROW(Tabla9[ESTADO]))," "),ROWS($A$1:A5)))," ")," ")</f>
        <v xml:space="preserve"> </v>
      </c>
      <c r="I17" s="146"/>
      <c r="J17" s="146"/>
      <c r="K17" s="151"/>
      <c r="L17" s="77" t="str" cm="1">
        <f t="array" ref="L17">IFERROR(INDEX(Tabla9[ID],SMALL(IF("Finalizado"=Tabla9[ESTADO],MATCH(ROW(Tabla9[ESTADO]),ROW(Tabla9[ESTADO]))," "),ROWS($A$1:A5)))," ")</f>
        <v xml:space="preserve"> </v>
      </c>
      <c r="M17" s="140" t="str" cm="1">
        <f t="array" ref="M17">IFERROR(IF(_xlfn.XLOOKUP(_xlfn.XLOOKUP(L17,Tabla9[ID],Tabla9[ID_H.U]),Tabla8[ID],Tabla8[SPRINT])=$J$9,INDEX(Tabla9[TAREA],SMALL(IF("Finalizado"=Tabla9[ESTADO],MATCH(ROW(Tabla9[ESTADO]),ROW(Tabla9[ESTADO]))," "),ROWS($A$1:A5)))," ")," ")</f>
        <v xml:space="preserve"> </v>
      </c>
      <c r="N17" s="141"/>
      <c r="O17" s="142"/>
    </row>
    <row r="18" spans="2:15" s="51" customFormat="1" ht="20.25" customHeight="1" x14ac:dyDescent="0.25">
      <c r="B18" s="80" t="str" cm="1">
        <f t="array" ref="B18">IFERROR(INDEX(Tabla9[ID],SMALL(IF("Pendiente"=Tabla9[ESTADO],MATCH(ROW(Tabla9[ESTADO]),ROW(Tabla9[ESTADO]))," "),ROWS($A$1:A6)))," ")</f>
        <v xml:space="preserve"> </v>
      </c>
      <c r="C18" s="150" t="str" cm="1">
        <f t="array" ref="C18">IFERROR(IF(_xlfn.XLOOKUP(_xlfn.XLOOKUP(B18,Tabla9[ID],Tabla9[ID_H.U]),Tabla8[ID],Tabla8[SPRINT])=$J$9,INDEX(Tabla9[TAREA],SMALL(IF("Pendiente"=Tabla9[ESTADO],MATCH(ROW(Tabla9[ESTADO]),ROW(Tabla9[ESTADO]))," "),ROWS($A$1:A6)))," ")," ")</f>
        <v xml:space="preserve"> </v>
      </c>
      <c r="D18" s="146"/>
      <c r="E18" s="146"/>
      <c r="F18" s="151"/>
      <c r="G18" s="78" t="str" cm="1">
        <f t="array" ref="G18">IFERROR(INDEX(Tabla9[ID],SMALL(IF("En progreso"=Tabla9[ESTADO],MATCH(ROW(Tabla9[ESTADO]),ROW(Tabla9[ESTADO]))," "),ROWS($A$1:A6)))," ")</f>
        <v xml:space="preserve"> </v>
      </c>
      <c r="H18" s="150" t="str" cm="1">
        <f t="array" ref="H18">IFERROR(IF(_xlfn.XLOOKUP(_xlfn.XLOOKUP(G18,Tabla9[ID],Tabla9[ID_H.U]),Tabla8[ID],Tabla8[SPRINT])=$J$9,INDEX(Tabla9[TAREA],SMALL(IF("En progreso"=Tabla9[ESTADO],MATCH(ROW(Tabla9[ESTADO]),ROW(Tabla9[ESTADO]))," "),ROWS($A$1:A6)))," ")," ")</f>
        <v xml:space="preserve"> </v>
      </c>
      <c r="I18" s="146"/>
      <c r="J18" s="146"/>
      <c r="K18" s="151"/>
      <c r="L18" s="77" t="str" cm="1">
        <f t="array" ref="L18">IFERROR(INDEX(Tabla9[ID],SMALL(IF("Finalizado"=Tabla9[ESTADO],MATCH(ROW(Tabla9[ESTADO]),ROW(Tabla9[ESTADO]))," "),ROWS($A$1:A6)))," ")</f>
        <v xml:space="preserve"> </v>
      </c>
      <c r="M18" s="140" t="str" cm="1">
        <f t="array" ref="M18">IFERROR(IF(_xlfn.XLOOKUP(_xlfn.XLOOKUP(L18,Tabla9[ID],Tabla9[ID_H.U]),Tabla8[ID],Tabla8[SPRINT])=$J$9,INDEX(Tabla9[TAREA],SMALL(IF("Finalizado"=Tabla9[ESTADO],MATCH(ROW(Tabla9[ESTADO]),ROW(Tabla9[ESTADO]))," "),ROWS($A$1:A6)))," ")," ")</f>
        <v xml:space="preserve"> </v>
      </c>
      <c r="N18" s="141"/>
      <c r="O18" s="142"/>
    </row>
    <row r="19" spans="2:15" s="51" customFormat="1" ht="20.25" customHeight="1" x14ac:dyDescent="0.25">
      <c r="B19" s="80" t="str" cm="1">
        <f t="array" ref="B19">IFERROR(INDEX(Tabla9[ID],SMALL(IF("Pendiente"=Tabla9[ESTADO],MATCH(ROW(Tabla9[ESTADO]),ROW(Tabla9[ESTADO]))," "),ROWS($A$1:A7)))," ")</f>
        <v xml:space="preserve"> </v>
      </c>
      <c r="C19" s="150" t="str" cm="1">
        <f t="array" ref="C19">IFERROR(IF(_xlfn.XLOOKUP(_xlfn.XLOOKUP(B19,Tabla9[ID],Tabla9[ID_H.U]),Tabla8[ID],Tabla8[SPRINT])=$J$9,INDEX(Tabla9[TAREA],SMALL(IF("Pendiente"=Tabla9[ESTADO],MATCH(ROW(Tabla9[ESTADO]),ROW(Tabla9[ESTADO]))," "),ROWS($A$1:A7)))," ")," ")</f>
        <v xml:space="preserve"> </v>
      </c>
      <c r="D19" s="146"/>
      <c r="E19" s="146"/>
      <c r="F19" s="151"/>
      <c r="G19" s="79"/>
      <c r="H19" s="150" t="str" cm="1">
        <f t="array" ref="H19">IFERROR(IF(_xlfn.XLOOKUP(_xlfn.XLOOKUP(G19,Tabla9[ID],Tabla9[ID_H.U]),Tabla8[ID],Tabla8[SPRINT])=$J$9,INDEX(Tabla9[TAREA],SMALL(IF("En progreso"=Tabla9[ESTADO],MATCH(ROW(Tabla9[ESTADO]),ROW(Tabla9[ESTADO]))," "),ROWS($A$1:A7)))," ")," ")</f>
        <v xml:space="preserve"> </v>
      </c>
      <c r="I19" s="146"/>
      <c r="J19" s="146"/>
      <c r="K19" s="151"/>
      <c r="L19" s="77" t="str" cm="1">
        <f t="array" ref="L19">IFERROR(INDEX(Tabla9[ID],SMALL(IF("Finalizado"=Tabla9[ESTADO],MATCH(ROW(Tabla9[ESTADO]),ROW(Tabla9[ESTADO]))," "),ROWS($A$1:A7)))," ")</f>
        <v xml:space="preserve"> </v>
      </c>
      <c r="M19" s="140" t="str" cm="1">
        <f t="array" ref="M19">IFERROR(IF(_xlfn.XLOOKUP(_xlfn.XLOOKUP(L19,Tabla9[ID],Tabla9[ID_H.U]),Tabla8[ID],Tabla8[SPRINT])=$J$9,INDEX(Tabla9[TAREA],SMALL(IF("Finalizado"=Tabla9[ESTADO],MATCH(ROW(Tabla9[ESTADO]),ROW(Tabla9[ESTADO]))," "),ROWS($A$1:A7)))," ")," ")</f>
        <v xml:space="preserve"> </v>
      </c>
      <c r="N19" s="141"/>
      <c r="O19" s="142"/>
    </row>
    <row r="20" spans="2:15" s="51" customFormat="1" ht="20.25" customHeight="1" x14ac:dyDescent="0.25">
      <c r="B20" s="80" t="str" cm="1">
        <f t="array" ref="B20">IFERROR(INDEX(Tabla9[ID],SMALL(IF("Pendiente"=Tabla9[ESTADO],MATCH(ROW(Tabla9[ESTADO]),ROW(Tabla9[ESTADO]))," "),ROWS($A$1:A8)))," ")</f>
        <v xml:space="preserve"> </v>
      </c>
      <c r="C20" s="150" t="str" cm="1">
        <f t="array" ref="C20">IFERROR(IF(_xlfn.XLOOKUP(_xlfn.XLOOKUP(B20,Tabla9[ID],Tabla9[ID_H.U]),Tabla8[ID],Tabla8[SPRINT])=$J$9,INDEX(Tabla9[TAREA],SMALL(IF("Pendiente"=Tabla9[ESTADO],MATCH(ROW(Tabla9[ESTADO]),ROW(Tabla9[ESTADO]))," "),ROWS($A$1:A8)))," ")," ")</f>
        <v xml:space="preserve"> </v>
      </c>
      <c r="D20" s="146"/>
      <c r="E20" s="146"/>
      <c r="F20" s="151"/>
      <c r="G20" s="79"/>
      <c r="H20" s="150" t="str" cm="1">
        <f t="array" ref="H20">IFERROR(IF(_xlfn.XLOOKUP(_xlfn.XLOOKUP(G20,Tabla9[ID],Tabla9[ID_H.U]),Tabla8[ID],Tabla8[SPRINT])=$J$9,INDEX(Tabla9[TAREA],SMALL(IF("En progreso"=Tabla9[ESTADO],MATCH(ROW(Tabla9[ESTADO]),ROW(Tabla9[ESTADO]))," "),ROWS($A$1:A8)))," ")," ")</f>
        <v xml:space="preserve"> </v>
      </c>
      <c r="I20" s="146"/>
      <c r="J20" s="146"/>
      <c r="K20" s="151"/>
      <c r="L20" s="77" t="str" cm="1">
        <f t="array" ref="L20">IFERROR(INDEX(Tabla9[ID],SMALL(IF("Finalizado"=Tabla9[ESTADO],MATCH(ROW(Tabla9[ESTADO]),ROW(Tabla9[ESTADO]))," "),ROWS($A$1:A8)))," ")</f>
        <v xml:space="preserve"> </v>
      </c>
      <c r="M20" s="140" t="str" cm="1">
        <f t="array" ref="M20">IFERROR(IF(_xlfn.XLOOKUP(_xlfn.XLOOKUP(L20,Tabla9[ID],Tabla9[ID_H.U]),Tabla8[ID],Tabla8[SPRINT])=$J$9,INDEX(Tabla9[TAREA],SMALL(IF("Finalizado"=Tabla9[ESTADO],MATCH(ROW(Tabla9[ESTADO]),ROW(Tabla9[ESTADO]))," "),ROWS($A$1:A8)))," ")," ")</f>
        <v xml:space="preserve"> </v>
      </c>
      <c r="N20" s="141"/>
      <c r="O20" s="142"/>
    </row>
    <row r="21" spans="2:15" s="51" customFormat="1" ht="20.25" customHeight="1" x14ac:dyDescent="0.25">
      <c r="B21" s="80" t="str" cm="1">
        <f t="array" ref="B21">IFERROR(INDEX(Tabla9[ID],SMALL(IF("Pendiente"=Tabla9[ESTADO],MATCH(ROW(Tabla9[ESTADO]),ROW(Tabla9[ESTADO]))," "),ROWS($A$1:A9)))," ")</f>
        <v xml:space="preserve"> </v>
      </c>
      <c r="C21" s="150" t="str" cm="1">
        <f t="array" ref="C21">IFERROR(IF(_xlfn.XLOOKUP(_xlfn.XLOOKUP(B21,Tabla9[ID],Tabla9[ID_H.U]),Tabla8[ID],Tabla8[SPRINT])=$J$9,INDEX(Tabla9[TAREA],SMALL(IF("Pendiente"=Tabla9[ESTADO],MATCH(ROW(Tabla9[ESTADO]),ROW(Tabla9[ESTADO]))," "),ROWS($A$1:A9)))," ")," ")</f>
        <v xml:space="preserve"> </v>
      </c>
      <c r="D21" s="146"/>
      <c r="E21" s="146"/>
      <c r="F21" s="151"/>
      <c r="G21" s="79"/>
      <c r="H21" s="150" t="str" cm="1">
        <f t="array" ref="H21">IFERROR(IF(_xlfn.XLOOKUP(_xlfn.XLOOKUP(G21,Tabla9[ID],Tabla9[ID_H.U]),Tabla8[ID],Tabla8[SPRINT])=$J$9,INDEX(Tabla9[TAREA],SMALL(IF("En progreso"=Tabla9[ESTADO],MATCH(ROW(Tabla9[ESTADO]),ROW(Tabla9[ESTADO]))," "),ROWS($A$1:A9)))," ")," ")</f>
        <v xml:space="preserve"> </v>
      </c>
      <c r="I21" s="146"/>
      <c r="J21" s="146"/>
      <c r="K21" s="151"/>
      <c r="L21" s="77" t="str" cm="1">
        <f t="array" ref="L21">IFERROR(INDEX(Tabla9[ID],SMALL(IF("Finalizado"=Tabla9[ESTADO],MATCH(ROW(Tabla9[ESTADO]),ROW(Tabla9[ESTADO]))," "),ROWS($A$1:A9)))," ")</f>
        <v xml:space="preserve"> </v>
      </c>
      <c r="M21" s="140" t="str" cm="1">
        <f t="array" ref="M21">IFERROR(IF(_xlfn.XLOOKUP(_xlfn.XLOOKUP(L21,Tabla9[ID],Tabla9[ID_H.U]),Tabla8[ID],Tabla8[SPRINT])=$J$9,INDEX(Tabla9[TAREA],SMALL(IF("Finalizado"=Tabla9[ESTADO],MATCH(ROW(Tabla9[ESTADO]),ROW(Tabla9[ESTADO]))," "),ROWS($A$1:A9)))," ")," ")</f>
        <v xml:space="preserve"> </v>
      </c>
      <c r="N21" s="141"/>
      <c r="O21" s="142"/>
    </row>
    <row r="22" spans="2:15" s="51" customFormat="1" ht="20.25" customHeight="1" x14ac:dyDescent="0.25">
      <c r="B22" s="81"/>
      <c r="C22" s="150" t="str" cm="1">
        <f t="array" ref="C22">IFERROR(IF(_xlfn.XLOOKUP(_xlfn.XLOOKUP(B22,Tabla9[ID],Tabla9[ID_H.U]),Tabla8[ID],Tabla8[SPRINT])=$J$9,INDEX(Tabla9[TAREA],SMALL(IF("Pendiente"=Tabla9[ESTADO],MATCH(ROW(Tabla9[ESTADO]),ROW(Tabla9[ESTADO]))," "),ROWS($A$1:A10)))," ")," ")</f>
        <v xml:space="preserve"> </v>
      </c>
      <c r="D22" s="146"/>
      <c r="E22" s="146"/>
      <c r="F22" s="151"/>
      <c r="G22" s="79"/>
      <c r="H22" s="150" t="str" cm="1">
        <f t="array" ref="H22">IFERROR(IF(_xlfn.XLOOKUP(_xlfn.XLOOKUP(G22,Tabla9[ID],Tabla9[ID_H.U]),Tabla8[ID],Tabla8[SPRINT])=$J$9,INDEX(Tabla9[TAREA],SMALL(IF("En progreso"=Tabla9[ESTADO],MATCH(ROW(Tabla9[ESTADO]),ROW(Tabla9[ESTADO]))," "),ROWS($A$1:A10)))," ")," ")</f>
        <v xml:space="preserve"> </v>
      </c>
      <c r="I22" s="146"/>
      <c r="J22" s="146"/>
      <c r="K22" s="151"/>
      <c r="L22" s="77" t="str" cm="1">
        <f t="array" ref="L22">IFERROR(INDEX(Tabla9[ID],SMALL(IF("Finalizado"=Tabla9[ESTADO],MATCH(ROW(Tabla9[ESTADO]),ROW(Tabla9[ESTADO]))," "),ROWS($A$1:A10)))," ")</f>
        <v xml:space="preserve"> </v>
      </c>
      <c r="M22" s="140" t="str" cm="1">
        <f t="array" ref="M22">IFERROR(IF(_xlfn.XLOOKUP(_xlfn.XLOOKUP(L22,Tabla9[ID],Tabla9[ID_H.U]),Tabla8[ID],Tabla8[SPRINT])=$J$9,INDEX(Tabla9[TAREA],SMALL(IF("Finalizado"=Tabla9[ESTADO],MATCH(ROW(Tabla9[ESTADO]),ROW(Tabla9[ESTADO]))," "),ROWS($A$1:A10)))," ")," ")</f>
        <v xml:space="preserve"> </v>
      </c>
      <c r="N22" s="141"/>
      <c r="O22" s="142"/>
    </row>
    <row r="23" spans="2:15" s="51" customFormat="1" ht="20.25" customHeight="1" x14ac:dyDescent="0.25">
      <c r="B23" s="81"/>
      <c r="C23" s="150" t="str" cm="1">
        <f t="array" ref="C23">IFERROR(IF(_xlfn.XLOOKUP(_xlfn.XLOOKUP(B23,Tabla9[ID],Tabla9[ID_H.U]),Tabla8[ID],Tabla8[SPRINT])=$J$9,INDEX(Tabla9[TAREA],SMALL(IF("Pendiente"=Tabla9[ESTADO],MATCH(ROW(Tabla9[ESTADO]),ROW(Tabla9[ESTADO]))," "),ROWS($A$1:A11)))," ")," ")</f>
        <v xml:space="preserve"> </v>
      </c>
      <c r="D23" s="146"/>
      <c r="E23" s="146"/>
      <c r="F23" s="151"/>
      <c r="G23" s="79"/>
      <c r="H23" s="150" t="str" cm="1">
        <f t="array" ref="H23">IFERROR(IF(_xlfn.XLOOKUP(_xlfn.XLOOKUP(G23,Tabla9[ID],Tabla9[ID_H.U]),Tabla8[ID],Tabla8[SPRINT])=$J$9,INDEX(Tabla9[TAREA],SMALL(IF("En progreso"=Tabla9[ESTADO],MATCH(ROW(Tabla9[ESTADO]),ROW(Tabla9[ESTADO]))," "),ROWS($A$1:A11)))," ")," ")</f>
        <v xml:space="preserve"> </v>
      </c>
      <c r="I23" s="146"/>
      <c r="J23" s="146"/>
      <c r="K23" s="151"/>
      <c r="L23" s="77" t="str" cm="1">
        <f t="array" ref="L23">IFERROR(INDEX(Tabla9[ID],SMALL(IF("Finalizado"=Tabla9[ESTADO],MATCH(ROW(Tabla9[ESTADO]),ROW(Tabla9[ESTADO]))," "),ROWS($A$1:A11)))," ")</f>
        <v xml:space="preserve"> </v>
      </c>
      <c r="M23" s="140" t="str" cm="1">
        <f t="array" ref="M23">IFERROR(IF(_xlfn.XLOOKUP(_xlfn.XLOOKUP(L23,Tabla9[ID],Tabla9[ID_H.U]),Tabla8[ID],Tabla8[SPRINT])=$J$9,INDEX(Tabla9[TAREA],SMALL(IF("Finalizado"=Tabla9[ESTADO],MATCH(ROW(Tabla9[ESTADO]),ROW(Tabla9[ESTADO]))," "),ROWS($A$1:A11)))," ")," ")</f>
        <v xml:space="preserve"> </v>
      </c>
      <c r="N23" s="141"/>
      <c r="O23" s="142"/>
    </row>
    <row r="24" spans="2:15" s="51" customFormat="1" ht="20.25" customHeight="1" x14ac:dyDescent="0.25">
      <c r="B24" s="81"/>
      <c r="C24" s="150" t="str" cm="1">
        <f t="array" ref="C24">IFERROR(IF(_xlfn.XLOOKUP(_xlfn.XLOOKUP(B24,Tabla9[ID],Tabla9[ID_H.U]),Tabla8[ID],Tabla8[SPRINT])=$J$9,INDEX(Tabla9[TAREA],SMALL(IF("Pendiente"=Tabla9[ESTADO],MATCH(ROW(Tabla9[ESTADO]),ROW(Tabla9[ESTADO]))," "),ROWS($A$1:A12)))," ")," ")</f>
        <v xml:space="preserve"> </v>
      </c>
      <c r="D24" s="146"/>
      <c r="E24" s="146"/>
      <c r="F24" s="151"/>
      <c r="G24" s="79"/>
      <c r="H24" s="150" t="str" cm="1">
        <f t="array" ref="H24">IFERROR(IF(_xlfn.XLOOKUP(_xlfn.XLOOKUP(G24,Tabla9[ID],Tabla9[ID_H.U]),Tabla8[ID],Tabla8[SPRINT])=$J$9,INDEX(Tabla9[TAREA],SMALL(IF("En progreso"=Tabla9[ESTADO],MATCH(ROW(Tabla9[ESTADO]),ROW(Tabla9[ESTADO]))," "),ROWS($A$1:A12)))," ")," ")</f>
        <v xml:space="preserve"> </v>
      </c>
      <c r="I24" s="146"/>
      <c r="J24" s="146"/>
      <c r="K24" s="151"/>
      <c r="L24" s="77" t="str" cm="1">
        <f t="array" ref="L24">IFERROR(INDEX(Tabla9[ID],SMALL(IF("Finalizado"=Tabla9[ESTADO],MATCH(ROW(Tabla9[ESTADO]),ROW(Tabla9[ESTADO]))," "),ROWS($A$1:A12)))," ")</f>
        <v xml:space="preserve"> </v>
      </c>
      <c r="M24" s="140" t="str" cm="1">
        <f t="array" ref="M24">IFERROR(IF(_xlfn.XLOOKUP(_xlfn.XLOOKUP(L24,Tabla9[ID],Tabla9[ID_H.U]),Tabla8[ID],Tabla8[SPRINT])=$J$9,INDEX(Tabla9[TAREA],SMALL(IF("Finalizado"=Tabla9[ESTADO],MATCH(ROW(Tabla9[ESTADO]),ROW(Tabla9[ESTADO]))," "),ROWS($A$1:A12)))," ")," ")</f>
        <v xml:space="preserve"> </v>
      </c>
      <c r="N24" s="141"/>
      <c r="O24" s="142"/>
    </row>
    <row r="25" spans="2:15" s="51" customFormat="1" ht="20.25" customHeight="1" x14ac:dyDescent="0.25">
      <c r="B25" s="81"/>
      <c r="C25" s="150" t="str" cm="1">
        <f t="array" ref="C25">IFERROR(IF(_xlfn.XLOOKUP(_xlfn.XLOOKUP(B25,Tabla9[ID],Tabla9[ID_H.U]),Tabla8[ID],Tabla8[SPRINT])=$J$9,INDEX(Tabla9[TAREA],SMALL(IF("Pendiente"=Tabla9[ESTADO],MATCH(ROW(Tabla9[ESTADO]),ROW(Tabla9[ESTADO]))," "),ROWS($A$1:A13)))," ")," ")</f>
        <v xml:space="preserve"> </v>
      </c>
      <c r="D25" s="146"/>
      <c r="E25" s="146"/>
      <c r="F25" s="151"/>
      <c r="G25" s="79"/>
      <c r="H25" s="150" t="str" cm="1">
        <f t="array" ref="H25">IFERROR(IF(_xlfn.XLOOKUP(_xlfn.XLOOKUP(G25,Tabla9[ID],Tabla9[ID_H.U]),Tabla8[ID],Tabla8[SPRINT])=$J$9,INDEX(Tabla9[TAREA],SMALL(IF("En progreso"=Tabla9[ESTADO],MATCH(ROW(Tabla9[ESTADO]),ROW(Tabla9[ESTADO]))," "),ROWS($A$1:A13)))," ")," ")</f>
        <v xml:space="preserve"> </v>
      </c>
      <c r="I25" s="146"/>
      <c r="J25" s="146"/>
      <c r="K25" s="151"/>
      <c r="L25" s="77" t="str" cm="1">
        <f t="array" ref="L25">IFERROR(INDEX(Tabla9[ID],SMALL(IF("Finalizado"=Tabla9[ESTADO],MATCH(ROW(Tabla9[ESTADO]),ROW(Tabla9[ESTADO]))," "),ROWS($A$1:A13)))," ")</f>
        <v xml:space="preserve"> </v>
      </c>
      <c r="M25" s="140" t="str" cm="1">
        <f t="array" ref="M25">IFERROR(IF(_xlfn.XLOOKUP(_xlfn.XLOOKUP(L25,Tabla9[ID],Tabla9[ID_H.U]),Tabla8[ID],Tabla8[SPRINT])=$J$9,INDEX(Tabla9[TAREA],SMALL(IF("Finalizado"=Tabla9[ESTADO],MATCH(ROW(Tabla9[ESTADO]),ROW(Tabla9[ESTADO]))," "),ROWS($A$1:A13)))," ")," ")</f>
        <v xml:space="preserve"> </v>
      </c>
      <c r="N25" s="141"/>
      <c r="O25" s="142"/>
    </row>
    <row r="26" spans="2:15" s="51" customFormat="1" ht="20.25" customHeight="1" x14ac:dyDescent="0.25">
      <c r="B26" s="81"/>
      <c r="C26" s="150" t="str" cm="1">
        <f t="array" ref="C26">IFERROR(IF(_xlfn.XLOOKUP(_xlfn.XLOOKUP(B26,Tabla9[ID],Tabla9[ID_H.U]),Tabla8[ID],Tabla8[SPRINT])=$J$9,INDEX(Tabla9[TAREA],SMALL(IF("Pendiente"=Tabla9[ESTADO],MATCH(ROW(Tabla9[ESTADO]),ROW(Tabla9[ESTADO]))," "),ROWS($A$1:A14)))," ")," ")</f>
        <v xml:space="preserve"> </v>
      </c>
      <c r="D26" s="146"/>
      <c r="E26" s="146"/>
      <c r="F26" s="151"/>
      <c r="G26" s="79"/>
      <c r="H26" s="150" t="str" cm="1">
        <f t="array" ref="H26">IFERROR(IF(_xlfn.XLOOKUP(_xlfn.XLOOKUP(G26,Tabla9[ID],Tabla9[ID_H.U]),Tabla8[ID],Tabla8[SPRINT])=$J$9,INDEX(Tabla9[TAREA],SMALL(IF("En progreso"=Tabla9[ESTADO],MATCH(ROW(Tabla9[ESTADO]),ROW(Tabla9[ESTADO]))," "),ROWS($A$1:A14)))," ")," ")</f>
        <v xml:space="preserve"> </v>
      </c>
      <c r="I26" s="146"/>
      <c r="J26" s="146"/>
      <c r="K26" s="151"/>
      <c r="L26" s="77" t="str" cm="1">
        <f t="array" ref="L26">IFERROR(INDEX(Tabla9[ID],SMALL(IF("Finalizado"=Tabla9[ESTADO],MATCH(ROW(Tabla9[ESTADO]),ROW(Tabla9[ESTADO]))," "),ROWS($A$1:A14)))," ")</f>
        <v xml:space="preserve"> </v>
      </c>
      <c r="M26" s="140" t="str" cm="1">
        <f t="array" ref="M26">IFERROR(IF(_xlfn.XLOOKUP(_xlfn.XLOOKUP(L26,Tabla9[ID],Tabla9[ID_H.U]),Tabla8[ID],Tabla8[SPRINT])=$J$9,INDEX(Tabla9[TAREA],SMALL(IF("Finalizado"=Tabla9[ESTADO],MATCH(ROW(Tabla9[ESTADO]),ROW(Tabla9[ESTADO]))," "),ROWS($A$1:A14)))," ")," ")</f>
        <v xml:space="preserve"> </v>
      </c>
      <c r="N26" s="141"/>
      <c r="O26" s="142"/>
    </row>
    <row r="27" spans="2:15" s="51" customFormat="1" ht="20.25" customHeight="1" x14ac:dyDescent="0.25">
      <c r="B27" s="81"/>
      <c r="C27" s="150" t="str" cm="1">
        <f t="array" ref="C27">IFERROR(IF(_xlfn.XLOOKUP(_xlfn.XLOOKUP(B27,Tabla9[ID],Tabla9[ID_H.U]),Tabla8[ID],Tabla8[SPRINT])=$J$9,INDEX(Tabla9[TAREA],SMALL(IF("Pendiente"=Tabla9[ESTADO],MATCH(ROW(Tabla9[ESTADO]),ROW(Tabla9[ESTADO]))," "),ROWS($A$1:A15)))," ")," ")</f>
        <v xml:space="preserve"> </v>
      </c>
      <c r="D27" s="146"/>
      <c r="E27" s="146"/>
      <c r="F27" s="151"/>
      <c r="G27" s="79"/>
      <c r="H27" s="150" t="str" cm="1">
        <f t="array" ref="H27">IFERROR(IF(_xlfn.XLOOKUP(_xlfn.XLOOKUP(G27,Tabla9[ID],Tabla9[ID_H.U]),Tabla8[ID],Tabla8[SPRINT])=$J$9,INDEX(Tabla9[TAREA],SMALL(IF("En progreso"=Tabla9[ESTADO],MATCH(ROW(Tabla9[ESTADO]),ROW(Tabla9[ESTADO]))," "),ROWS($A$1:A15)))," ")," ")</f>
        <v xml:space="preserve"> </v>
      </c>
      <c r="I27" s="146"/>
      <c r="J27" s="146"/>
      <c r="K27" s="151"/>
      <c r="L27" s="77" t="str" cm="1">
        <f t="array" ref="L27">IFERROR(INDEX(Tabla9[ID],SMALL(IF("Finalizado"=Tabla9[ESTADO],MATCH(ROW(Tabla9[ESTADO]),ROW(Tabla9[ESTADO]))," "),ROWS($A$1:A15)))," ")</f>
        <v xml:space="preserve"> </v>
      </c>
      <c r="M27" s="140" t="str" cm="1">
        <f t="array" ref="M27">IFERROR(IF(_xlfn.XLOOKUP(_xlfn.XLOOKUP(L27,Tabla9[ID],Tabla9[ID_H.U]),Tabla8[ID],Tabla8[SPRINT])=$J$9,INDEX(Tabla9[TAREA],SMALL(IF("Finalizado"=Tabla9[ESTADO],MATCH(ROW(Tabla9[ESTADO]),ROW(Tabla9[ESTADO]))," "),ROWS($A$1:A15)))," ")," ")</f>
        <v xml:space="preserve"> </v>
      </c>
      <c r="N27" s="141"/>
      <c r="O27" s="142"/>
    </row>
    <row r="28" spans="2:15" s="51" customFormat="1" ht="20.25" customHeight="1" x14ac:dyDescent="0.25">
      <c r="B28" s="81"/>
      <c r="C28" s="150" t="str" cm="1">
        <f t="array" ref="C28">IFERROR(IF(_xlfn.XLOOKUP(_xlfn.XLOOKUP(B28,Tabla9[ID],Tabla9[ID_H.U]),Tabla8[ID],Tabla8[SPRINT])=$J$9,INDEX(Tabla9[TAREA],SMALL(IF("Pendiente"=Tabla9[ESTADO],MATCH(ROW(Tabla9[ESTADO]),ROW(Tabla9[ESTADO]))," "),ROWS($A$1:A16)))," ")," ")</f>
        <v xml:space="preserve"> </v>
      </c>
      <c r="D28" s="146"/>
      <c r="E28" s="146"/>
      <c r="F28" s="151"/>
      <c r="G28" s="79"/>
      <c r="H28" s="150" t="str" cm="1">
        <f t="array" ref="H28">IFERROR(IF(_xlfn.XLOOKUP(_xlfn.XLOOKUP(G28,Tabla9[ID],Tabla9[ID_H.U]),Tabla8[ID],Tabla8[SPRINT])=$J$9,INDEX(Tabla9[TAREA],SMALL(IF("En progreso"=Tabla9[ESTADO],MATCH(ROW(Tabla9[ESTADO]),ROW(Tabla9[ESTADO]))," "),ROWS($A$1:A16)))," ")," ")</f>
        <v xml:space="preserve"> </v>
      </c>
      <c r="I28" s="146"/>
      <c r="J28" s="146"/>
      <c r="K28" s="151"/>
      <c r="L28" s="77" t="str" cm="1">
        <f t="array" ref="L28">IFERROR(INDEX(Tabla9[ID],SMALL(IF("Finalizado"=Tabla9[ESTADO],MATCH(ROW(Tabla9[ESTADO]),ROW(Tabla9[ESTADO]))," "),ROWS($A$1:A16)))," ")</f>
        <v xml:space="preserve"> </v>
      </c>
      <c r="M28" s="140" t="str" cm="1">
        <f t="array" ref="M28">IFERROR(IF(_xlfn.XLOOKUP(_xlfn.XLOOKUP(L28,Tabla9[ID],Tabla9[ID_H.U]),Tabla8[ID],Tabla8[SPRINT])=$J$9,INDEX(Tabla9[TAREA],SMALL(IF("Finalizado"=Tabla9[ESTADO],MATCH(ROW(Tabla9[ESTADO]),ROW(Tabla9[ESTADO]))," "),ROWS($A$1:A16)))," ")," ")</f>
        <v xml:space="preserve"> </v>
      </c>
      <c r="N28" s="141"/>
      <c r="O28" s="142"/>
    </row>
    <row r="29" spans="2:15" s="51" customFormat="1" ht="20.25" customHeight="1" x14ac:dyDescent="0.25">
      <c r="B29" s="81"/>
      <c r="C29" s="150" t="str" cm="1">
        <f t="array" ref="C29">IFERROR(IF(_xlfn.XLOOKUP(_xlfn.XLOOKUP(B29,Tabla9[ID],Tabla9[ID_H.U]),Tabla8[ID],Tabla8[SPRINT])=$J$9,INDEX(Tabla9[TAREA],SMALL(IF("Pendiente"=Tabla9[ESTADO],MATCH(ROW(Tabla9[ESTADO]),ROW(Tabla9[ESTADO]))," "),ROWS($A$1:A17)))," ")," ")</f>
        <v xml:space="preserve"> </v>
      </c>
      <c r="D29" s="146"/>
      <c r="E29" s="146"/>
      <c r="F29" s="151"/>
      <c r="G29" s="79"/>
      <c r="H29" s="150" t="str" cm="1">
        <f t="array" ref="H29">IFERROR(IF(_xlfn.XLOOKUP(_xlfn.XLOOKUP(G29,Tabla9[ID],Tabla9[ID_H.U]),Tabla8[ID],Tabla8[SPRINT])=$J$9,INDEX(Tabla9[TAREA],SMALL(IF("En progreso"=Tabla9[ESTADO],MATCH(ROW(Tabla9[ESTADO]),ROW(Tabla9[ESTADO]))," "),ROWS($A$1:A17)))," ")," ")</f>
        <v xml:space="preserve"> </v>
      </c>
      <c r="I29" s="146"/>
      <c r="J29" s="146"/>
      <c r="K29" s="151"/>
      <c r="L29" s="77" t="str" cm="1">
        <f t="array" ref="L29">IFERROR(INDEX(Tabla9[ID],SMALL(IF("Finalizado"=Tabla9[ESTADO],MATCH(ROW(Tabla9[ESTADO]),ROW(Tabla9[ESTADO]))," "),ROWS($A$1:A17)))," ")</f>
        <v xml:space="preserve"> </v>
      </c>
      <c r="M29" s="140" t="str" cm="1">
        <f t="array" ref="M29">IFERROR(IF(_xlfn.XLOOKUP(_xlfn.XLOOKUP(L29,Tabla9[ID],Tabla9[ID_H.U]),Tabla8[ID],Tabla8[SPRINT])=$J$9,INDEX(Tabla9[TAREA],SMALL(IF("Finalizado"=Tabla9[ESTADO],MATCH(ROW(Tabla9[ESTADO]),ROW(Tabla9[ESTADO]))," "),ROWS($A$1:A17)))," ")," ")</f>
        <v xml:space="preserve"> </v>
      </c>
      <c r="N29" s="141"/>
      <c r="O29" s="142"/>
    </row>
    <row r="30" spans="2:15" s="51" customFormat="1" ht="20.25" customHeight="1" x14ac:dyDescent="0.25">
      <c r="B30" s="81"/>
      <c r="C30" s="150" t="str" cm="1">
        <f t="array" ref="C30">IFERROR(IF(_xlfn.XLOOKUP(_xlfn.XLOOKUP(B30,Tabla9[ID],Tabla9[ID_H.U]),Tabla8[ID],Tabla8[SPRINT])=$J$9,INDEX(Tabla9[TAREA],SMALL(IF("Pendiente"=Tabla9[ESTADO],MATCH(ROW(Tabla9[ESTADO]),ROW(Tabla9[ESTADO]))," "),ROWS($A$1:A18)))," ")," ")</f>
        <v xml:space="preserve"> </v>
      </c>
      <c r="D30" s="146"/>
      <c r="E30" s="146"/>
      <c r="F30" s="151"/>
      <c r="G30" s="79"/>
      <c r="H30" s="150" t="str" cm="1">
        <f t="array" ref="H30">IFERROR(IF(_xlfn.XLOOKUP(_xlfn.XLOOKUP(G30,Tabla9[ID],Tabla9[ID_H.U]),Tabla8[ID],Tabla8[SPRINT])=$J$9,INDEX(Tabla9[TAREA],SMALL(IF("En progreso"=Tabla9[ESTADO],MATCH(ROW(Tabla9[ESTADO]),ROW(Tabla9[ESTADO]))," "),ROWS($A$1:A18)))," ")," ")</f>
        <v xml:space="preserve"> </v>
      </c>
      <c r="I30" s="146"/>
      <c r="J30" s="146"/>
      <c r="K30" s="151"/>
      <c r="L30" s="77" t="str" cm="1">
        <f t="array" ref="L30">IFERROR(INDEX(Tabla9[ID],SMALL(IF("Finalizado"=Tabla9[ESTADO],MATCH(ROW(Tabla9[ESTADO]),ROW(Tabla9[ESTADO]))," "),ROWS($A$1:A18)))," ")</f>
        <v xml:space="preserve"> </v>
      </c>
      <c r="M30" s="140" t="str" cm="1">
        <f t="array" ref="M30">IFERROR(IF(_xlfn.XLOOKUP(_xlfn.XLOOKUP(L30,Tabla9[ID],Tabla9[ID_H.U]),Tabla8[ID],Tabla8[SPRINT])=$J$9,INDEX(Tabla9[TAREA],SMALL(IF("Finalizado"=Tabla9[ESTADO],MATCH(ROW(Tabla9[ESTADO]),ROW(Tabla9[ESTADO]))," "),ROWS($A$1:A18)))," ")," ")</f>
        <v xml:space="preserve"> </v>
      </c>
      <c r="N30" s="141"/>
      <c r="O30" s="142"/>
    </row>
    <row r="31" spans="2:15" s="51" customFormat="1" ht="20.25" customHeight="1" x14ac:dyDescent="0.25">
      <c r="B31" s="81"/>
      <c r="C31" s="150" t="str" cm="1">
        <f t="array" ref="C31">IFERROR(IF(_xlfn.XLOOKUP(_xlfn.XLOOKUP(B31,Tabla9[ID],Tabla9[ID_H.U]),Tabla8[ID],Tabla8[SPRINT])=$J$9,INDEX(Tabla9[TAREA],SMALL(IF("Pendiente"=Tabla9[ESTADO],MATCH(ROW(Tabla9[ESTADO]),ROW(Tabla9[ESTADO]))," "),ROWS($A$1:A19)))," ")," ")</f>
        <v xml:space="preserve"> </v>
      </c>
      <c r="D31" s="146"/>
      <c r="E31" s="146"/>
      <c r="F31" s="151"/>
      <c r="G31" s="79"/>
      <c r="H31" s="150" t="str" cm="1">
        <f t="array" ref="H31">IFERROR(IF(_xlfn.XLOOKUP(_xlfn.XLOOKUP(G31,Tabla9[ID],Tabla9[ID_H.U]),Tabla8[ID],Tabla8[SPRINT])=$J$9,INDEX(Tabla9[TAREA],SMALL(IF("En progreso"=Tabla9[ESTADO],MATCH(ROW(Tabla9[ESTADO]),ROW(Tabla9[ESTADO]))," "),ROWS($A$1:A19)))," ")," ")</f>
        <v xml:space="preserve"> </v>
      </c>
      <c r="I31" s="146"/>
      <c r="J31" s="146"/>
      <c r="K31" s="151"/>
      <c r="L31" s="77"/>
      <c r="M31" s="140" t="str" cm="1">
        <f t="array" ref="M31">IFERROR(IF(_xlfn.XLOOKUP(_xlfn.XLOOKUP(L31,Tabla9[ID],Tabla9[ID_H.U]),Tabla8[ID],Tabla8[SPRINT])=$J$9,INDEX(Tabla9[TAREA],SMALL(IF("Finalizado"=Tabla9[ESTADO],MATCH(ROW(Tabla9[ESTADO]),ROW(Tabla9[ESTADO]))," "),ROWS($A$1:A19)))," ")," ")</f>
        <v xml:space="preserve"> </v>
      </c>
      <c r="N31" s="141"/>
      <c r="O31" s="142"/>
    </row>
    <row r="32" spans="2:15" s="51" customFormat="1" ht="20.25" customHeight="1" x14ac:dyDescent="0.25">
      <c r="B32" s="81"/>
      <c r="C32" s="150" t="str" cm="1">
        <f t="array" ref="C32">IFERROR(IF(_xlfn.XLOOKUP(_xlfn.XLOOKUP(B32,Tabla9[ID],Tabla9[ID_H.U]),Tabla8[ID],Tabla8[SPRINT])=$J$9,INDEX(Tabla9[TAREA],SMALL(IF("Pendiente"=Tabla9[ESTADO],MATCH(ROW(Tabla9[ESTADO]),ROW(Tabla9[ESTADO]))," "),ROWS($A$1:A20)))," ")," ")</f>
        <v xml:space="preserve"> </v>
      </c>
      <c r="D32" s="146"/>
      <c r="E32" s="146"/>
      <c r="F32" s="151"/>
      <c r="G32" s="79"/>
      <c r="H32" s="150" t="str" cm="1">
        <f t="array" ref="H32">IFERROR(IF(_xlfn.XLOOKUP(_xlfn.XLOOKUP(G32,Tabla9[ID],Tabla9[ID_H.U]),Tabla8[ID],Tabla8[SPRINT])=$J$9,INDEX(Tabla9[TAREA],SMALL(IF("En progreso"=Tabla9[ESTADO],MATCH(ROW(Tabla9[ESTADO]),ROW(Tabla9[ESTADO]))," "),ROWS($A$1:A20)))," ")," ")</f>
        <v xml:space="preserve"> </v>
      </c>
      <c r="I32" s="146"/>
      <c r="J32" s="146"/>
      <c r="K32" s="151"/>
      <c r="L32" s="77"/>
      <c r="M32" s="140" t="str" cm="1">
        <f t="array" ref="M32">IFERROR(IF(_xlfn.XLOOKUP(_xlfn.XLOOKUP(L32,Tabla9[ID],Tabla9[ID_H.U]),Tabla8[ID],Tabla8[SPRINT])=$J$9,INDEX(Tabla9[TAREA],SMALL(IF("Finalizado"=Tabla9[ESTADO],MATCH(ROW(Tabla9[ESTADO]),ROW(Tabla9[ESTADO]))," "),ROWS($A$1:A20)))," ")," ")</f>
        <v xml:space="preserve"> </v>
      </c>
      <c r="N32" s="141"/>
      <c r="O32" s="142"/>
    </row>
    <row r="33" spans="2:15" s="51" customFormat="1" ht="20.25" customHeight="1" x14ac:dyDescent="0.25">
      <c r="B33" s="81"/>
      <c r="C33" s="150" t="str" cm="1">
        <f t="array" ref="C33">IFERROR(IF(_xlfn.XLOOKUP(_xlfn.XLOOKUP(B33,Tabla9[ID],Tabla9[ID_H.U]),Tabla8[ID],Tabla8[SPRINT])=$J$9,INDEX(Tabla9[TAREA],SMALL(IF("Pendiente"=Tabla9[ESTADO],MATCH(ROW(Tabla9[ESTADO]),ROW(Tabla9[ESTADO]))," "),ROWS($A$1:A21)))," ")," ")</f>
        <v xml:space="preserve"> </v>
      </c>
      <c r="D33" s="146"/>
      <c r="E33" s="146"/>
      <c r="F33" s="151"/>
      <c r="G33" s="79"/>
      <c r="H33" s="150" t="str" cm="1">
        <f t="array" ref="H33">IFERROR(IF(_xlfn.XLOOKUP(_xlfn.XLOOKUP(G33,Tabla9[ID],Tabla9[ID_H.U]),Tabla8[ID],Tabla8[SPRINT])=$J$9,INDEX(Tabla9[TAREA],SMALL(IF("En progreso"=Tabla9[ESTADO],MATCH(ROW(Tabla9[ESTADO]),ROW(Tabla9[ESTADO]))," "),ROWS($A$1:A21)))," ")," ")</f>
        <v xml:space="preserve"> </v>
      </c>
      <c r="I33" s="146"/>
      <c r="J33" s="146"/>
      <c r="K33" s="151"/>
      <c r="L33" s="77"/>
      <c r="M33" s="140" t="str" cm="1">
        <f t="array" ref="M33">IFERROR(IF(_xlfn.XLOOKUP(_xlfn.XLOOKUP(L33,Tabla9[ID],Tabla9[ID_H.U]),Tabla8[ID],Tabla8[SPRINT])=$J$9,INDEX(Tabla9[TAREA],SMALL(IF("Finalizado"=Tabla9[ESTADO],MATCH(ROW(Tabla9[ESTADO]),ROW(Tabla9[ESTADO]))," "),ROWS($A$1:A21)))," ")," ")</f>
        <v xml:space="preserve"> </v>
      </c>
      <c r="N33" s="141"/>
      <c r="O33" s="142"/>
    </row>
    <row r="34" spans="2:15" s="51" customFormat="1" ht="20.25" customHeight="1" x14ac:dyDescent="0.25">
      <c r="B34" s="81"/>
      <c r="C34" s="150" t="str" cm="1">
        <f t="array" ref="C34">IFERROR(IF(_xlfn.XLOOKUP(_xlfn.XLOOKUP(B34,Tabla9[ID],Tabla9[ID_H.U]),Tabla8[ID],Tabla8[SPRINT])=$J$9,INDEX(Tabla9[TAREA],SMALL(IF("Pendiente"=Tabla9[ESTADO],MATCH(ROW(Tabla9[ESTADO]),ROW(Tabla9[ESTADO]))," "),ROWS($A$1:A22)))," ")," ")</f>
        <v xml:space="preserve"> </v>
      </c>
      <c r="D34" s="146"/>
      <c r="E34" s="146"/>
      <c r="F34" s="151"/>
      <c r="G34" s="79"/>
      <c r="H34" s="150" t="str" cm="1">
        <f t="array" ref="H34">IFERROR(IF(_xlfn.XLOOKUP(_xlfn.XLOOKUP(G34,Tabla9[ID],Tabla9[ID_H.U]),Tabla8[ID],Tabla8[SPRINT])=$J$9,INDEX(Tabla9[TAREA],SMALL(IF("En progreso"=Tabla9[ESTADO],MATCH(ROW(Tabla9[ESTADO]),ROW(Tabla9[ESTADO]))," "),ROWS($A$1:A22)))," ")," ")</f>
        <v xml:space="preserve"> </v>
      </c>
      <c r="I34" s="146"/>
      <c r="J34" s="146"/>
      <c r="K34" s="151"/>
      <c r="L34" s="77"/>
      <c r="M34" s="140" t="str" cm="1">
        <f t="array" ref="M34">IFERROR(IF(_xlfn.XLOOKUP(_xlfn.XLOOKUP(L34,Tabla9[ID],Tabla9[ID_H.U]),Tabla8[ID],Tabla8[SPRINT])=$J$9,INDEX(Tabla9[TAREA],SMALL(IF("Finalizado"=Tabla9[ESTADO],MATCH(ROW(Tabla9[ESTADO]),ROW(Tabla9[ESTADO]))," "),ROWS($A$1:A22)))," ")," ")</f>
        <v xml:space="preserve"> </v>
      </c>
      <c r="N34" s="141"/>
      <c r="O34" s="142"/>
    </row>
    <row r="35" spans="2:15" s="51" customFormat="1" ht="20.25" customHeight="1" x14ac:dyDescent="0.25">
      <c r="B35" s="81"/>
      <c r="C35" s="150" t="str" cm="1">
        <f t="array" ref="C35">IFERROR(IF(_xlfn.XLOOKUP(_xlfn.XLOOKUP(B35,Tabla9[ID],Tabla9[ID_H.U]),Tabla8[ID],Tabla8[SPRINT])=$J$9,INDEX(Tabla9[TAREA],SMALL(IF("Pendiente"=Tabla9[ESTADO],MATCH(ROW(Tabla9[ESTADO]),ROW(Tabla9[ESTADO]))," "),ROWS($A$1:A23)))," ")," ")</f>
        <v xml:space="preserve"> </v>
      </c>
      <c r="D35" s="146"/>
      <c r="E35" s="146"/>
      <c r="F35" s="151"/>
      <c r="G35" s="79"/>
      <c r="H35" s="150" t="str" cm="1">
        <f t="array" ref="H35">IFERROR(IF(_xlfn.XLOOKUP(_xlfn.XLOOKUP(G35,Tabla9[ID],Tabla9[ID_H.U]),Tabla8[ID],Tabla8[SPRINT])=$J$9,INDEX(Tabla9[TAREA],SMALL(IF("En progreso"=Tabla9[ESTADO],MATCH(ROW(Tabla9[ESTADO]),ROW(Tabla9[ESTADO]))," "),ROWS($A$1:A23)))," ")," ")</f>
        <v xml:space="preserve"> </v>
      </c>
      <c r="I35" s="146"/>
      <c r="J35" s="146"/>
      <c r="K35" s="151"/>
      <c r="L35" s="77"/>
      <c r="M35" s="140" t="str" cm="1">
        <f t="array" ref="M35">IFERROR(IF(_xlfn.XLOOKUP(_xlfn.XLOOKUP(L35,Tabla9[ID],Tabla9[ID_H.U]),Tabla8[ID],Tabla8[SPRINT])=$J$9,INDEX(Tabla9[TAREA],SMALL(IF("Finalizado"=Tabla9[ESTADO],MATCH(ROW(Tabla9[ESTADO]),ROW(Tabla9[ESTADO]))," "),ROWS($A$1:A23)))," ")," ")</f>
        <v xml:space="preserve"> </v>
      </c>
      <c r="N35" s="141"/>
      <c r="O35" s="142"/>
    </row>
    <row r="36" spans="2:15" s="51" customFormat="1" ht="20.25" customHeight="1" x14ac:dyDescent="0.25">
      <c r="B36" s="81"/>
      <c r="C36" s="150" t="str" cm="1">
        <f t="array" ref="C36">IFERROR(IF(_xlfn.XLOOKUP(_xlfn.XLOOKUP(B36,Tabla9[ID],Tabla9[ID_H.U]),Tabla8[ID],Tabla8[SPRINT])=$J$9,INDEX(Tabla9[TAREA],SMALL(IF("Pendiente"=Tabla9[ESTADO],MATCH(ROW(Tabla9[ESTADO]),ROW(Tabla9[ESTADO]))," "),ROWS($A$1:A24)))," ")," ")</f>
        <v xml:space="preserve"> </v>
      </c>
      <c r="D36" s="146"/>
      <c r="E36" s="146"/>
      <c r="F36" s="151"/>
      <c r="G36" s="79"/>
      <c r="H36" s="150" t="str" cm="1">
        <f t="array" ref="H36">IFERROR(IF(_xlfn.XLOOKUP(_xlfn.XLOOKUP(G36,Tabla9[ID],Tabla9[ID_H.U]),Tabla8[ID],Tabla8[SPRINT])=$J$9,INDEX(Tabla9[TAREA],SMALL(IF("En progreso"=Tabla9[ESTADO],MATCH(ROW(Tabla9[ESTADO]),ROW(Tabla9[ESTADO]))," "),ROWS($A$1:A24)))," ")," ")</f>
        <v xml:space="preserve"> </v>
      </c>
      <c r="I36" s="146"/>
      <c r="J36" s="146"/>
      <c r="K36" s="151"/>
      <c r="L36" s="77"/>
      <c r="M36" s="140" t="str" cm="1">
        <f t="array" ref="M36">IFERROR(IF(_xlfn.XLOOKUP(_xlfn.XLOOKUP(L36,Tabla9[ID],Tabla9[ID_H.U]),Tabla8[ID],Tabla8[SPRINT])=$J$9,INDEX(Tabla9[TAREA],SMALL(IF("Finalizado"=Tabla9[ESTADO],MATCH(ROW(Tabla9[ESTADO]),ROW(Tabla9[ESTADO]))," "),ROWS($A$1:A24)))," ")," ")</f>
        <v xml:space="preserve"> </v>
      </c>
      <c r="N36" s="141"/>
      <c r="O36" s="142"/>
    </row>
    <row r="37" spans="2:15" s="51" customFormat="1" ht="20.25" customHeight="1" x14ac:dyDescent="0.25">
      <c r="B37" s="81"/>
      <c r="C37" s="150" t="str" cm="1">
        <f t="array" ref="C37">IFERROR(IF(_xlfn.XLOOKUP(_xlfn.XLOOKUP(B37,Tabla9[ID],Tabla9[ID_H.U]),Tabla8[ID],Tabla8[SPRINT])=$J$9,INDEX(Tabla9[TAREA],SMALL(IF("Pendiente"=Tabla9[ESTADO],MATCH(ROW(Tabla9[ESTADO]),ROW(Tabla9[ESTADO]))," "),ROWS($A$1:A25)))," ")," ")</f>
        <v xml:space="preserve"> </v>
      </c>
      <c r="D37" s="146"/>
      <c r="E37" s="146"/>
      <c r="F37" s="151"/>
      <c r="G37" s="79"/>
      <c r="H37" s="150" t="str" cm="1">
        <f t="array" ref="H37">IFERROR(IF(_xlfn.XLOOKUP(_xlfn.XLOOKUP(G37,Tabla9[ID],Tabla9[ID_H.U]),Tabla8[ID],Tabla8[SPRINT])=$J$9,INDEX(Tabla9[TAREA],SMALL(IF("En progreso"=Tabla9[ESTADO],MATCH(ROW(Tabla9[ESTADO]),ROW(Tabla9[ESTADO]))," "),ROWS($A$1:A25)))," ")," ")</f>
        <v xml:space="preserve"> </v>
      </c>
      <c r="I37" s="146"/>
      <c r="J37" s="146"/>
      <c r="K37" s="151"/>
      <c r="L37" s="77"/>
      <c r="M37" s="140" t="str" cm="1">
        <f t="array" ref="M37">IFERROR(IF(_xlfn.XLOOKUP(_xlfn.XLOOKUP(L37,Tabla9[ID],Tabla9[ID_H.U]),Tabla8[ID],Tabla8[SPRINT])=$J$9,INDEX(Tabla9[TAREA],SMALL(IF("Finalizado"=Tabla9[ESTADO],MATCH(ROW(Tabla9[ESTADO]),ROW(Tabla9[ESTADO]))," "),ROWS($A$1:A25)))," ")," ")</f>
        <v xml:space="preserve"> </v>
      </c>
      <c r="N37" s="141"/>
      <c r="O37" s="142"/>
    </row>
    <row r="38" spans="2:15" s="51" customFormat="1" ht="20.25" customHeight="1" x14ac:dyDescent="0.25">
      <c r="B38" s="81"/>
      <c r="C38" s="150" t="str" cm="1">
        <f t="array" ref="C38">IFERROR(IF(_xlfn.XLOOKUP(_xlfn.XLOOKUP(B38,Tabla9[ID],Tabla9[ID_H.U]),Tabla8[ID],Tabla8[SPRINT])=$J$9,INDEX(Tabla9[TAREA],SMALL(IF("Pendiente"=Tabla9[ESTADO],MATCH(ROW(Tabla9[ESTADO]),ROW(Tabla9[ESTADO]))," "),ROWS($A$1:A26)))," ")," ")</f>
        <v xml:space="preserve"> </v>
      </c>
      <c r="D38" s="146"/>
      <c r="E38" s="146"/>
      <c r="F38" s="151"/>
      <c r="G38" s="79"/>
      <c r="H38" s="150" t="str" cm="1">
        <f t="array" ref="H38">IFERROR(IF(_xlfn.XLOOKUP(_xlfn.XLOOKUP(G38,Tabla9[ID],Tabla9[ID_H.U]),Tabla8[ID],Tabla8[SPRINT])=$J$9,INDEX(Tabla9[TAREA],SMALL(IF("En progreso"=Tabla9[ESTADO],MATCH(ROW(Tabla9[ESTADO]),ROW(Tabla9[ESTADO]))," "),ROWS($A$1:A26)))," ")," ")</f>
        <v xml:space="preserve"> </v>
      </c>
      <c r="I38" s="146"/>
      <c r="J38" s="146"/>
      <c r="K38" s="151"/>
      <c r="L38" s="77"/>
      <c r="M38" s="140" t="str" cm="1">
        <f t="array" ref="M38">IFERROR(IF(_xlfn.XLOOKUP(_xlfn.XLOOKUP(L38,Tabla9[ID],Tabla9[ID_H.U]),Tabla8[ID],Tabla8[SPRINT])=$J$9,INDEX(Tabla9[TAREA],SMALL(IF("Finalizado"=Tabla9[ESTADO],MATCH(ROW(Tabla9[ESTADO]),ROW(Tabla9[ESTADO]))," "),ROWS($A$1:A26)))," ")," ")</f>
        <v xml:space="preserve"> </v>
      </c>
      <c r="N38" s="141"/>
      <c r="O38" s="142"/>
    </row>
    <row r="39" spans="2:15" s="51" customFormat="1" ht="20.25" customHeight="1" x14ac:dyDescent="0.25">
      <c r="B39" s="81"/>
      <c r="C39" s="150" t="str" cm="1">
        <f t="array" ref="C39">IFERROR(IF(_xlfn.XLOOKUP(_xlfn.XLOOKUP(B39,Tabla9[ID],Tabla9[ID_H.U]),Tabla8[ID],Tabla8[SPRINT])=$J$9,INDEX(Tabla9[TAREA],SMALL(IF("Pendiente"=Tabla9[ESTADO],MATCH(ROW(Tabla9[ESTADO]),ROW(Tabla9[ESTADO]))," "),ROWS($A$1:A27)))," ")," ")</f>
        <v xml:space="preserve"> </v>
      </c>
      <c r="D39" s="146"/>
      <c r="E39" s="146"/>
      <c r="F39" s="151"/>
      <c r="G39" s="79"/>
      <c r="H39" s="150" t="str" cm="1">
        <f t="array" ref="H39">IFERROR(IF(_xlfn.XLOOKUP(_xlfn.XLOOKUP(G39,Tabla9[ID],Tabla9[ID_H.U]),Tabla8[ID],Tabla8[SPRINT])=$J$9,INDEX(Tabla9[TAREA],SMALL(IF("En progreso"=Tabla9[ESTADO],MATCH(ROW(Tabla9[ESTADO]),ROW(Tabla9[ESTADO]))," "),ROWS($A$1:A27)))," ")," ")</f>
        <v xml:space="preserve"> </v>
      </c>
      <c r="I39" s="146"/>
      <c r="J39" s="146"/>
      <c r="K39" s="151"/>
      <c r="L39" s="77"/>
      <c r="M39" s="140" t="str" cm="1">
        <f t="array" ref="M39">IFERROR(IF(_xlfn.XLOOKUP(_xlfn.XLOOKUP(L39,Tabla9[ID],Tabla9[ID_H.U]),Tabla8[ID],Tabla8[SPRINT])=$J$9,INDEX(Tabla9[TAREA],SMALL(IF("Finalizado"=Tabla9[ESTADO],MATCH(ROW(Tabla9[ESTADO]),ROW(Tabla9[ESTADO]))," "),ROWS($A$1:A27)))," ")," ")</f>
        <v xml:space="preserve"> </v>
      </c>
      <c r="N39" s="141"/>
      <c r="O39" s="142"/>
    </row>
    <row r="40" spans="2:15" s="51" customFormat="1" ht="20.25" customHeight="1" x14ac:dyDescent="0.25">
      <c r="B40" s="81"/>
      <c r="C40" s="150" t="str" cm="1">
        <f t="array" ref="C40">IFERROR(IF(_xlfn.XLOOKUP(_xlfn.XLOOKUP(B40,Tabla9[ID],Tabla9[ID_H.U]),Tabla8[ID],Tabla8[SPRINT])=$J$9,INDEX(Tabla9[TAREA],SMALL(IF("Pendiente"=Tabla9[ESTADO],MATCH(ROW(Tabla9[ESTADO]),ROW(Tabla9[ESTADO]))," "),ROWS($A$1:A28)))," ")," ")</f>
        <v xml:space="preserve"> </v>
      </c>
      <c r="D40" s="146"/>
      <c r="E40" s="146"/>
      <c r="F40" s="151"/>
      <c r="G40" s="79"/>
      <c r="H40" s="150" t="str" cm="1">
        <f t="array" ref="H40">IFERROR(IF(_xlfn.XLOOKUP(_xlfn.XLOOKUP(G40,Tabla9[ID],Tabla9[ID_H.U]),Tabla8[ID],Tabla8[SPRINT])=$J$9,INDEX(Tabla9[TAREA],SMALL(IF("En progreso"=Tabla9[ESTADO],MATCH(ROW(Tabla9[ESTADO]),ROW(Tabla9[ESTADO]))," "),ROWS($A$1:A28)))," ")," ")</f>
        <v xml:space="preserve"> </v>
      </c>
      <c r="I40" s="146"/>
      <c r="J40" s="146"/>
      <c r="K40" s="151"/>
      <c r="L40" s="77"/>
      <c r="M40" s="140" t="str" cm="1">
        <f t="array" ref="M40">IFERROR(IF(_xlfn.XLOOKUP(_xlfn.XLOOKUP(L40,Tabla9[ID],Tabla9[ID_H.U]),Tabla8[ID],Tabla8[SPRINT])=$J$9,INDEX(Tabla9[TAREA],SMALL(IF("Finalizado"=Tabla9[ESTADO],MATCH(ROW(Tabla9[ESTADO]),ROW(Tabla9[ESTADO]))," "),ROWS($A$1:A28)))," ")," ")</f>
        <v xml:space="preserve"> </v>
      </c>
      <c r="N40" s="141"/>
      <c r="O40" s="142"/>
    </row>
    <row r="41" spans="2:15" s="51" customFormat="1" ht="20.25" customHeight="1" thickBot="1" x14ac:dyDescent="0.3">
      <c r="B41" s="82"/>
      <c r="C41" s="147" t="str" cm="1">
        <f t="array" ref="C41">IFERROR(IF(_xlfn.XLOOKUP(_xlfn.XLOOKUP(B41,Tabla9[ID],Tabla9[ID_H.U]),Tabla8[ID],Tabla8[SPRINT])=$J$9,INDEX(Tabla9[TAREA],SMALL(IF("Pendiente"=Tabla9[ESTADO],MATCH(ROW(Tabla9[ESTADO]),ROW(Tabla9[ESTADO]))," "),ROWS($A$1:A29)))," ")," ")</f>
        <v xml:space="preserve"> </v>
      </c>
      <c r="D41" s="148"/>
      <c r="E41" s="148"/>
      <c r="F41" s="149"/>
      <c r="G41" s="83"/>
      <c r="H41" s="147" t="str" cm="1">
        <f t="array" ref="H41">IFERROR(IF(_xlfn.XLOOKUP(_xlfn.XLOOKUP(G41,Tabla9[ID],Tabla9[ID_H.U]),Tabla8[ID],Tabla8[SPRINT])=$J$9,INDEX(Tabla9[TAREA],SMALL(IF("En progreso"=Tabla9[ESTADO],MATCH(ROW(Tabla9[ESTADO]),ROW(Tabla9[ESTADO]))," "),ROWS($A$1:A29)))," ")," ")</f>
        <v xml:space="preserve"> </v>
      </c>
      <c r="I41" s="148"/>
      <c r="J41" s="148"/>
      <c r="K41" s="149"/>
      <c r="L41" s="84"/>
      <c r="M41" s="143" t="str" cm="1">
        <f t="array" ref="M41">IFERROR(IF(_xlfn.XLOOKUP(_xlfn.XLOOKUP(L41,Tabla9[ID],Tabla9[ID_H.U]),Tabla8[ID],Tabla8[SPRINT])=$J$9,INDEX(Tabla9[TAREA],SMALL(IF("Finalizado"=Tabla9[ESTADO],MATCH(ROW(Tabla9[ESTADO]),ROW(Tabla9[ESTADO]))," "),ROWS($A$1:A29)))," ")," ")</f>
        <v xml:space="preserve"> </v>
      </c>
      <c r="N41" s="144"/>
      <c r="O41" s="145"/>
    </row>
    <row r="42" spans="2:15" s="51" customFormat="1" ht="15" customHeight="1" x14ac:dyDescent="0.25">
      <c r="B42" s="55"/>
      <c r="C42" s="146" t="str" cm="1">
        <f t="array" ref="C42">IFERROR(IF(_xlfn.XLOOKUP(_xlfn.XLOOKUP(B42,Tabla9[ID],Tabla9[ID_H.U]),Tabla8[ID],Tabla8[SPRINT])=$J$9,INDEX(Tabla9[TAREA],SMALL(IF("Pendiente"=Tabla9[ESTADO],MATCH(ROW(Tabla9[ESTADO]),ROW(Tabla9[ESTADO]))," "),ROWS($A$1:A30)))," ")," ")</f>
        <v xml:space="preserve"> </v>
      </c>
      <c r="D42" s="146"/>
      <c r="E42" s="146"/>
      <c r="F42" s="146"/>
      <c r="G42" s="55"/>
      <c r="H42" s="146" t="str" cm="1">
        <f t="array" ref="H42">IFERROR(IF(_xlfn.XLOOKUP(_xlfn.XLOOKUP(G42,Tabla9[ID],Tabla9[ID_H.U]),Tabla8[ID],Tabla8[SPRINT])=$J$9,INDEX(Tabla9[TAREA],SMALL(IF("En progreso"=Tabla9[ESTADO],MATCH(ROW(Tabla9[ESTADO]),ROW(Tabla9[ESTADO]))," "),ROWS($A$1:A30)))," ")," ")</f>
        <v xml:space="preserve"> </v>
      </c>
      <c r="I42" s="146"/>
      <c r="J42" s="146"/>
      <c r="K42" s="146"/>
      <c r="L42" s="55"/>
      <c r="M42" s="139" t="str" cm="1">
        <f t="array" ref="M42">IFERROR(IF(_xlfn.XLOOKUP(_xlfn.XLOOKUP(L42,Tabla9[ID],Tabla9[ID_H.U]),Tabla8[ID],Tabla8[SPRINT])=$J$9,INDEX(Tabla9[TAREA],SMALL(IF("Finalizado"=Tabla9[ESTADO],MATCH(ROW(Tabla9[ESTADO]),ROW(Tabla9[ESTADO]))," "),ROWS($A$1:A30)))," ")," ")</f>
        <v xml:space="preserve"> </v>
      </c>
      <c r="N42" s="139"/>
      <c r="O42" s="139"/>
    </row>
    <row r="43" spans="2:15" s="51" customFormat="1" ht="15" customHeight="1" x14ac:dyDescent="0.25">
      <c r="B43" s="55"/>
      <c r="C43" s="146" t="str" cm="1">
        <f t="array" ref="C43">IFERROR(IF(_xlfn.XLOOKUP(_xlfn.XLOOKUP(B43,Tabla9[ID],Tabla9[ID_H.U]),Tabla8[ID],Tabla8[SPRINT])=$J$9,INDEX(Tabla9[TAREA],SMALL(IF("Pendiente"=Tabla9[ESTADO],MATCH(ROW(Tabla9[ESTADO]),ROW(Tabla9[ESTADO]))," "),ROWS($A$1:A31)))," ")," ")</f>
        <v xml:space="preserve"> </v>
      </c>
      <c r="D43" s="146"/>
      <c r="E43" s="146"/>
      <c r="F43" s="146"/>
      <c r="G43" s="55"/>
      <c r="H43" s="146" t="str" cm="1">
        <f t="array" ref="H43">IFERROR(IF(_xlfn.XLOOKUP(_xlfn.XLOOKUP(G43,Tabla9[ID],Tabla9[ID_H.U]),Tabla8[ID],Tabla8[SPRINT])=$J$9,INDEX(Tabla9[TAREA],SMALL(IF("En progreso"=Tabla9[ESTADO],MATCH(ROW(Tabla9[ESTADO]),ROW(Tabla9[ESTADO]))," "),ROWS($A$1:A31)))," ")," ")</f>
        <v xml:space="preserve"> </v>
      </c>
      <c r="I43" s="146"/>
      <c r="J43" s="146"/>
      <c r="K43" s="146"/>
      <c r="L43" s="55"/>
      <c r="M43" s="139" t="str" cm="1">
        <f t="array" ref="M43">IFERROR(IF(_xlfn.XLOOKUP(_xlfn.XLOOKUP(L43,Tabla9[ID],Tabla9[ID_H.U]),Tabla8[ID],Tabla8[SPRINT])=$J$9,INDEX(Tabla9[TAREA],SMALL(IF("Finalizado"=Tabla9[ESTADO],MATCH(ROW(Tabla9[ESTADO]),ROW(Tabla9[ESTADO]))," "),ROWS($A$1:A31)))," ")," ")</f>
        <v xml:space="preserve"> </v>
      </c>
      <c r="N43" s="139"/>
      <c r="O43" s="139"/>
    </row>
    <row r="44" spans="2:15" s="51" customFormat="1" ht="15" customHeight="1" x14ac:dyDescent="0.25">
      <c r="B44" s="55"/>
      <c r="C44" s="146" t="str" cm="1">
        <f t="array" ref="C44">IFERROR(IF(_xlfn.XLOOKUP(_xlfn.XLOOKUP(B44,Tabla9[ID],Tabla9[ID_H.U]),Tabla8[ID],Tabla8[SPRINT])=$J$9,INDEX(Tabla9[TAREA],SMALL(IF("Pendiente"=Tabla9[ESTADO],MATCH(ROW(Tabla9[ESTADO]),ROW(Tabla9[ESTADO]))," "),ROWS($A$1:A32)))," ")," ")</f>
        <v xml:space="preserve"> </v>
      </c>
      <c r="D44" s="146"/>
      <c r="E44" s="146"/>
      <c r="F44" s="146"/>
      <c r="G44" s="55"/>
      <c r="H44" s="146" t="str" cm="1">
        <f t="array" ref="H44">IFERROR(IF(_xlfn.XLOOKUP(_xlfn.XLOOKUP(G44,Tabla9[ID],Tabla9[ID_H.U]),Tabla8[ID],Tabla8[SPRINT])=$J$9,INDEX(Tabla9[TAREA],SMALL(IF("En progreso"=Tabla9[ESTADO],MATCH(ROW(Tabla9[ESTADO]),ROW(Tabla9[ESTADO]))," "),ROWS($A$1:A32)))," ")," ")</f>
        <v xml:space="preserve"> </v>
      </c>
      <c r="I44" s="146"/>
      <c r="J44" s="146"/>
      <c r="K44" s="146"/>
      <c r="L44" s="55"/>
      <c r="M44" s="139" t="str" cm="1">
        <f t="array" ref="M44">IFERROR(IF(_xlfn.XLOOKUP(_xlfn.XLOOKUP(L44,Tabla9[ID],Tabla9[ID_H.U]),Tabla8[ID],Tabla8[SPRINT])=$J$9,INDEX(Tabla9[TAREA],SMALL(IF("Finalizado"=Tabla9[ESTADO],MATCH(ROW(Tabla9[ESTADO]),ROW(Tabla9[ESTADO]))," "),ROWS($A$1:A32)))," ")," ")</f>
        <v xml:space="preserve"> </v>
      </c>
      <c r="N44" s="139"/>
      <c r="O44" s="139"/>
    </row>
    <row r="45" spans="2:15" s="51" customFormat="1" ht="15" customHeight="1" x14ac:dyDescent="0.25">
      <c r="B45" s="55"/>
      <c r="C45" s="146" t="str" cm="1">
        <f t="array" ref="C45">IFERROR(IF(_xlfn.XLOOKUP(_xlfn.XLOOKUP(B45,Tabla9[ID],Tabla9[ID_H.U]),Tabla8[ID],Tabla8[SPRINT])=$J$9,INDEX(Tabla9[TAREA],SMALL(IF("Pendiente"=Tabla9[ESTADO],MATCH(ROW(Tabla9[ESTADO]),ROW(Tabla9[ESTADO]))," "),ROWS($A$1:A33)))," ")," ")</f>
        <v xml:space="preserve"> </v>
      </c>
      <c r="D45" s="146"/>
      <c r="E45" s="146"/>
      <c r="F45" s="146"/>
      <c r="G45" s="55"/>
      <c r="H45" s="146" t="str" cm="1">
        <f t="array" ref="H45">IFERROR(IF(_xlfn.XLOOKUP(_xlfn.XLOOKUP(G45,Tabla9[ID],Tabla9[ID_H.U]),Tabla8[ID],Tabla8[SPRINT])=$J$9,INDEX(Tabla9[TAREA],SMALL(IF("En progreso"=Tabla9[ESTADO],MATCH(ROW(Tabla9[ESTADO]),ROW(Tabla9[ESTADO]))," "),ROWS($A$1:A33)))," ")," ")</f>
        <v xml:space="preserve"> </v>
      </c>
      <c r="I45" s="146"/>
      <c r="J45" s="146"/>
      <c r="K45" s="146"/>
      <c r="L45" s="55"/>
      <c r="M45" s="139" t="str" cm="1">
        <f t="array" ref="M45">IFERROR(IF(_xlfn.XLOOKUP(_xlfn.XLOOKUP(L45,Tabla9[ID],Tabla9[ID_H.U]),Tabla8[ID],Tabla8[SPRINT])=$J$9,INDEX(Tabla9[TAREA],SMALL(IF("Finalizado"=Tabla9[ESTADO],MATCH(ROW(Tabla9[ESTADO]),ROW(Tabla9[ESTADO]))," "),ROWS($A$1:A33)))," ")," ")</f>
        <v xml:space="preserve"> </v>
      </c>
      <c r="N45" s="139"/>
      <c r="O45" s="139"/>
    </row>
    <row r="46" spans="2:15" s="51" customFormat="1" ht="15" customHeight="1" x14ac:dyDescent="0.25">
      <c r="B46" s="55"/>
      <c r="C46" s="146" t="str" cm="1">
        <f t="array" ref="C46">IFERROR(IF(_xlfn.XLOOKUP(_xlfn.XLOOKUP(B46,Tabla9[ID],Tabla9[ID_H.U]),Tabla8[ID],Tabla8[SPRINT])=$J$9,INDEX(Tabla9[TAREA],SMALL(IF("Pendiente"=Tabla9[ESTADO],MATCH(ROW(Tabla9[ESTADO]),ROW(Tabla9[ESTADO]))," "),ROWS($A$1:A34)))," ")," ")</f>
        <v xml:space="preserve"> </v>
      </c>
      <c r="D46" s="146"/>
      <c r="E46" s="146"/>
      <c r="F46" s="146"/>
      <c r="G46" s="55"/>
      <c r="H46" s="146" t="str" cm="1">
        <f t="array" ref="H46">IFERROR(IF(_xlfn.XLOOKUP(_xlfn.XLOOKUP(G46,Tabla9[ID],Tabla9[ID_H.U]),Tabla8[ID],Tabla8[SPRINT])=$J$9,INDEX(Tabla9[TAREA],SMALL(IF("En progreso"=Tabla9[ESTADO],MATCH(ROW(Tabla9[ESTADO]),ROW(Tabla9[ESTADO]))," "),ROWS($A$1:A34)))," ")," ")</f>
        <v xml:space="preserve"> </v>
      </c>
      <c r="I46" s="146"/>
      <c r="J46" s="146"/>
      <c r="K46" s="146"/>
      <c r="L46" s="55"/>
      <c r="M46" s="139" t="str" cm="1">
        <f t="array" ref="M46">IFERROR(IF(_xlfn.XLOOKUP(_xlfn.XLOOKUP(L46,Tabla9[ID],Tabla9[ID_H.U]),Tabla8[ID],Tabla8[SPRINT])=$J$9,INDEX(Tabla9[TAREA],SMALL(IF("Finalizado"=Tabla9[ESTADO],MATCH(ROW(Tabla9[ESTADO]),ROW(Tabla9[ESTADO]))," "),ROWS($A$1:A34)))," ")," ")</f>
        <v xml:space="preserve"> </v>
      </c>
      <c r="N46" s="139"/>
      <c r="O46" s="139"/>
    </row>
    <row r="47" spans="2:15" s="51" customFormat="1" ht="15" customHeight="1" x14ac:dyDescent="0.25">
      <c r="B47" s="55"/>
      <c r="C47" s="146" t="str" cm="1">
        <f t="array" ref="C47">IFERROR(IF(_xlfn.XLOOKUP(_xlfn.XLOOKUP(B47,Tabla9[ID],Tabla9[ID_H.U]),Tabla8[ID],Tabla8[SPRINT])=$J$9,INDEX(Tabla9[TAREA],SMALL(IF("Pendiente"=Tabla9[ESTADO],MATCH(ROW(Tabla9[ESTADO]),ROW(Tabla9[ESTADO]))," "),ROWS($A$1:A35)))," ")," ")</f>
        <v xml:space="preserve"> </v>
      </c>
      <c r="D47" s="146"/>
      <c r="E47" s="146"/>
      <c r="F47" s="146"/>
      <c r="G47" s="55"/>
      <c r="H47" s="146" t="str" cm="1">
        <f t="array" ref="H47">IFERROR(IF(_xlfn.XLOOKUP(_xlfn.XLOOKUP(G47,Tabla9[ID],Tabla9[ID_H.U]),Tabla8[ID],Tabla8[SPRINT])=$J$9,INDEX(Tabla9[TAREA],SMALL(IF("En progreso"=Tabla9[ESTADO],MATCH(ROW(Tabla9[ESTADO]),ROW(Tabla9[ESTADO]))," "),ROWS($A$1:A35)))," ")," ")</f>
        <v xml:space="preserve"> </v>
      </c>
      <c r="I47" s="146"/>
      <c r="J47" s="146"/>
      <c r="K47" s="146"/>
      <c r="L47" s="55"/>
      <c r="M47" s="139" t="str" cm="1">
        <f t="array" ref="M47">IFERROR(IF(_xlfn.XLOOKUP(_xlfn.XLOOKUP(L47,Tabla9[ID],Tabla9[ID_H.U]),Tabla8[ID],Tabla8[SPRINT])=$J$9,INDEX(Tabla9[TAREA],SMALL(IF("Finalizado"=Tabla9[ESTADO],MATCH(ROW(Tabla9[ESTADO]),ROW(Tabla9[ESTADO]))," "),ROWS($A$1:A35)))," ")," ")</f>
        <v xml:space="preserve"> </v>
      </c>
      <c r="N47" s="139"/>
      <c r="O47" s="139"/>
    </row>
    <row r="48" spans="2:15" s="51" customFormat="1" ht="15" customHeight="1" x14ac:dyDescent="0.25">
      <c r="B48" s="55"/>
      <c r="C48" s="146" t="str" cm="1">
        <f t="array" ref="C48">IFERROR(IF(_xlfn.XLOOKUP(_xlfn.XLOOKUP(B48,Tabla9[ID],Tabla9[ID_H.U]),Tabla8[ID],Tabla8[SPRINT])=$J$9,INDEX(Tabla9[TAREA],SMALL(IF("Pendiente"=Tabla9[ESTADO],MATCH(ROW(Tabla9[ESTADO]),ROW(Tabla9[ESTADO]))," "),ROWS($A$1:A36)))," ")," ")</f>
        <v xml:space="preserve"> </v>
      </c>
      <c r="D48" s="146"/>
      <c r="E48" s="146"/>
      <c r="F48" s="146"/>
      <c r="G48" s="55"/>
      <c r="H48" s="146" t="str" cm="1">
        <f t="array" ref="H48">IFERROR(IF(_xlfn.XLOOKUP(_xlfn.XLOOKUP(G48,Tabla9[ID],Tabla9[ID_H.U]),Tabla8[ID],Tabla8[SPRINT])=$J$9,INDEX(Tabla9[TAREA],SMALL(IF("En progreso"=Tabla9[ESTADO],MATCH(ROW(Tabla9[ESTADO]),ROW(Tabla9[ESTADO]))," "),ROWS($A$1:A36)))," ")," ")</f>
        <v xml:space="preserve"> </v>
      </c>
      <c r="I48" s="146"/>
      <c r="J48" s="146"/>
      <c r="K48" s="146"/>
      <c r="L48" s="55"/>
      <c r="M48" s="139" t="str" cm="1">
        <f t="array" ref="M48">IFERROR(IF(_xlfn.XLOOKUP(_xlfn.XLOOKUP(L48,Tabla9[ID],Tabla9[ID_H.U]),Tabla8[ID],Tabla8[SPRINT])=$J$9,INDEX(Tabla9[TAREA],SMALL(IF("Finalizado"=Tabla9[ESTADO],MATCH(ROW(Tabla9[ESTADO]),ROW(Tabla9[ESTADO]))," "),ROWS($A$1:A36)))," ")," ")</f>
        <v xml:space="preserve"> </v>
      </c>
      <c r="N48" s="139"/>
      <c r="O48" s="139"/>
    </row>
    <row r="49" spans="2:15" s="51" customFormat="1" ht="15" customHeight="1" x14ac:dyDescent="0.25">
      <c r="B49" s="55"/>
      <c r="C49" s="146" t="str" cm="1">
        <f t="array" ref="C49">IFERROR(IF(_xlfn.XLOOKUP(_xlfn.XLOOKUP(B49,Tabla9[ID],Tabla9[ID_H.U]),Tabla8[ID],Tabla8[SPRINT])=$J$9,INDEX(Tabla9[TAREA],SMALL(IF("Pendiente"=Tabla9[ESTADO],MATCH(ROW(Tabla9[ESTADO]),ROW(Tabla9[ESTADO]))," "),ROWS($A$1:A37)))," ")," ")</f>
        <v xml:space="preserve"> </v>
      </c>
      <c r="D49" s="146"/>
      <c r="E49" s="146"/>
      <c r="F49" s="146"/>
      <c r="G49" s="55"/>
      <c r="H49" s="146" t="str" cm="1">
        <f t="array" ref="H49">IFERROR(IF(_xlfn.XLOOKUP(_xlfn.XLOOKUP(G49,Tabla9[ID],Tabla9[ID_H.U]),Tabla8[ID],Tabla8[SPRINT])=$J$9,INDEX(Tabla9[TAREA],SMALL(IF("En progreso"=Tabla9[ESTADO],MATCH(ROW(Tabla9[ESTADO]),ROW(Tabla9[ESTADO]))," "),ROWS($A$1:A37)))," ")," ")</f>
        <v xml:space="preserve"> </v>
      </c>
      <c r="I49" s="146"/>
      <c r="J49" s="146"/>
      <c r="K49" s="146"/>
      <c r="L49" s="55"/>
      <c r="M49" s="139" t="str" cm="1">
        <f t="array" ref="M49">IFERROR(IF(_xlfn.XLOOKUP(_xlfn.XLOOKUP(L49,Tabla9[ID],Tabla9[ID_H.U]),Tabla8[ID],Tabla8[SPRINT])=$J$9,INDEX(Tabla9[TAREA],SMALL(IF("Finalizado"=Tabla9[ESTADO],MATCH(ROW(Tabla9[ESTADO]),ROW(Tabla9[ESTADO]))," "),ROWS($A$1:A37)))," ")," ")</f>
        <v xml:space="preserve"> </v>
      </c>
      <c r="N49" s="139"/>
      <c r="O49" s="139"/>
    </row>
    <row r="50" spans="2:15" s="51" customFormat="1" ht="15" customHeight="1" x14ac:dyDescent="0.25">
      <c r="B50" s="55"/>
      <c r="C50" s="146" t="str" cm="1">
        <f t="array" ref="C50">IFERROR(IF(_xlfn.XLOOKUP(_xlfn.XLOOKUP(B50,Tabla9[ID],Tabla9[ID_H.U]),Tabla8[ID],Tabla8[SPRINT])=$J$9,INDEX(Tabla9[TAREA],SMALL(IF("Pendiente"=Tabla9[ESTADO],MATCH(ROW(Tabla9[ESTADO]),ROW(Tabla9[ESTADO]))," "),ROWS($A$1:A38)))," ")," ")</f>
        <v xml:space="preserve"> </v>
      </c>
      <c r="D50" s="146"/>
      <c r="E50" s="146"/>
      <c r="F50" s="146"/>
      <c r="G50" s="55"/>
      <c r="H50" s="146" t="str" cm="1">
        <f t="array" ref="H50">IFERROR(IF(_xlfn.XLOOKUP(_xlfn.XLOOKUP(G50,Tabla9[ID],Tabla9[ID_H.U]),Tabla8[ID],Tabla8[SPRINT])=$J$9,INDEX(Tabla9[TAREA],SMALL(IF("En progreso"=Tabla9[ESTADO],MATCH(ROW(Tabla9[ESTADO]),ROW(Tabla9[ESTADO]))," "),ROWS($A$1:A38)))," ")," ")</f>
        <v xml:space="preserve"> </v>
      </c>
      <c r="I50" s="146"/>
      <c r="J50" s="146"/>
      <c r="K50" s="146"/>
      <c r="L50" s="55"/>
      <c r="M50" s="139" t="str" cm="1">
        <f t="array" ref="M50">IFERROR(IF(_xlfn.XLOOKUP(_xlfn.XLOOKUP(L50,Tabla9[ID],Tabla9[ID_H.U]),Tabla8[ID],Tabla8[SPRINT])=$J$9,INDEX(Tabla9[TAREA],SMALL(IF("Finalizado"=Tabla9[ESTADO],MATCH(ROW(Tabla9[ESTADO]),ROW(Tabla9[ESTADO]))," "),ROWS($A$1:A38)))," ")," ")</f>
        <v xml:space="preserve"> </v>
      </c>
      <c r="N50" s="139"/>
      <c r="O50" s="139"/>
    </row>
    <row r="51" spans="2:15" s="51" customFormat="1" ht="15" customHeight="1" x14ac:dyDescent="0.25">
      <c r="B51" s="55"/>
      <c r="C51" s="146" t="str" cm="1">
        <f t="array" ref="C51">IFERROR(IF(_xlfn.XLOOKUP(_xlfn.XLOOKUP(B51,Tabla9[ID],Tabla9[ID_H.U]),Tabla8[ID],Tabla8[SPRINT])=$J$9,INDEX(Tabla9[TAREA],SMALL(IF("Pendiente"=Tabla9[ESTADO],MATCH(ROW(Tabla9[ESTADO]),ROW(Tabla9[ESTADO]))," "),ROWS($A$1:A39)))," ")," ")</f>
        <v xml:space="preserve"> </v>
      </c>
      <c r="D51" s="146"/>
      <c r="E51" s="146"/>
      <c r="F51" s="146"/>
      <c r="G51" s="55"/>
      <c r="H51" s="146" t="str" cm="1">
        <f t="array" ref="H51">IFERROR(IF(_xlfn.XLOOKUP(_xlfn.XLOOKUP(G51,Tabla9[ID],Tabla9[ID_H.U]),Tabla8[ID],Tabla8[SPRINT])=$J$9,INDEX(Tabla9[TAREA],SMALL(IF("En progreso"=Tabla9[ESTADO],MATCH(ROW(Tabla9[ESTADO]),ROW(Tabla9[ESTADO]))," "),ROWS($A$1:A39)))," ")," ")</f>
        <v xml:space="preserve"> </v>
      </c>
      <c r="I51" s="146"/>
      <c r="J51" s="146"/>
      <c r="K51" s="146"/>
      <c r="L51" s="55"/>
      <c r="M51" s="139" t="str" cm="1">
        <f t="array" ref="M51">IFERROR(IF(_xlfn.XLOOKUP(_xlfn.XLOOKUP(L51,Tabla9[ID],Tabla9[ID_H.U]),Tabla8[ID],Tabla8[SPRINT])=$J$9,INDEX(Tabla9[TAREA],SMALL(IF("Finalizado"=Tabla9[ESTADO],MATCH(ROW(Tabla9[ESTADO]),ROW(Tabla9[ESTADO]))," "),ROWS($A$1:A39)))," ")," ")</f>
        <v xml:space="preserve"> </v>
      </c>
      <c r="N51" s="139"/>
      <c r="O51" s="139"/>
    </row>
    <row r="52" spans="2:15" s="51" customFormat="1" ht="15" customHeight="1" x14ac:dyDescent="0.25">
      <c r="B52" s="55"/>
      <c r="C52" s="146" t="str" cm="1">
        <f t="array" ref="C52">IFERROR(IF(_xlfn.XLOOKUP(_xlfn.XLOOKUP(B52,Tabla9[ID],Tabla9[ID_H.U]),Tabla8[ID],Tabla8[SPRINT])=$J$9,INDEX(Tabla9[TAREA],SMALL(IF("Pendiente"=Tabla9[ESTADO],MATCH(ROW(Tabla9[ESTADO]),ROW(Tabla9[ESTADO]))," "),ROWS($A$1:A40)))," ")," ")</f>
        <v xml:space="preserve"> </v>
      </c>
      <c r="D52" s="146"/>
      <c r="E52" s="146"/>
      <c r="F52" s="146"/>
      <c r="G52" s="55"/>
      <c r="H52" s="146" t="str" cm="1">
        <f t="array" ref="H52">IFERROR(IF(_xlfn.XLOOKUP(_xlfn.XLOOKUP(G52,Tabla9[ID],Tabla9[ID_H.U]),Tabla8[ID],Tabla8[SPRINT])=$J$9,INDEX(Tabla9[TAREA],SMALL(IF("En progreso"=Tabla9[ESTADO],MATCH(ROW(Tabla9[ESTADO]),ROW(Tabla9[ESTADO]))," "),ROWS($A$1:A40)))," ")," ")</f>
        <v xml:space="preserve"> </v>
      </c>
      <c r="I52" s="146"/>
      <c r="J52" s="146"/>
      <c r="K52" s="146"/>
      <c r="L52" s="55"/>
      <c r="M52" s="139" t="str" cm="1">
        <f t="array" ref="M52">IFERROR(IF(_xlfn.XLOOKUP(_xlfn.XLOOKUP(L52,Tabla9[ID],Tabla9[ID_H.U]),Tabla8[ID],Tabla8[SPRINT])=$J$9,INDEX(Tabla9[TAREA],SMALL(IF("Finalizado"=Tabla9[ESTADO],MATCH(ROW(Tabla9[ESTADO]),ROW(Tabla9[ESTADO]))," "),ROWS($A$1:A40)))," ")," ")</f>
        <v xml:space="preserve"> </v>
      </c>
      <c r="N52" s="139"/>
      <c r="O52" s="139"/>
    </row>
    <row r="53" spans="2:15" s="51" customFormat="1" ht="15" customHeight="1" x14ac:dyDescent="0.25">
      <c r="B53" s="55"/>
      <c r="C53" s="146" t="str" cm="1">
        <f t="array" ref="C53">IFERROR(IF(_xlfn.XLOOKUP(_xlfn.XLOOKUP(B53,Tabla9[ID],Tabla9[ID_H.U]),Tabla8[ID],Tabla8[SPRINT])=$J$9,INDEX(Tabla9[TAREA],SMALL(IF("Pendiente"=Tabla9[ESTADO],MATCH(ROW(Tabla9[ESTADO]),ROW(Tabla9[ESTADO]))," "),ROWS($A$1:A41)))," ")," ")</f>
        <v xml:space="preserve"> </v>
      </c>
      <c r="D53" s="146"/>
      <c r="E53" s="146"/>
      <c r="F53" s="146"/>
      <c r="G53" s="55"/>
      <c r="H53" s="146" t="str" cm="1">
        <f t="array" ref="H53">IFERROR(IF(_xlfn.XLOOKUP(_xlfn.XLOOKUP(G53,Tabla9[ID],Tabla9[ID_H.U]),Tabla8[ID],Tabla8[SPRINT])=$J$9,INDEX(Tabla9[TAREA],SMALL(IF("En progreso"=Tabla9[ESTADO],MATCH(ROW(Tabla9[ESTADO]),ROW(Tabla9[ESTADO]))," "),ROWS($A$1:A41)))," ")," ")</f>
        <v xml:space="preserve"> </v>
      </c>
      <c r="I53" s="146"/>
      <c r="J53" s="146"/>
      <c r="K53" s="146"/>
      <c r="L53" s="55"/>
      <c r="M53" s="139" t="str" cm="1">
        <f t="array" ref="M53">IFERROR(IF(_xlfn.XLOOKUP(_xlfn.XLOOKUP(L53,Tabla9[ID],Tabla9[ID_H.U]),Tabla8[ID],Tabla8[SPRINT])=$J$9,INDEX(Tabla9[TAREA],SMALL(IF("Finalizado"=Tabla9[ESTADO],MATCH(ROW(Tabla9[ESTADO]),ROW(Tabla9[ESTADO]))," "),ROWS($A$1:A41)))," ")," ")</f>
        <v xml:space="preserve"> </v>
      </c>
      <c r="N53" s="139"/>
      <c r="O53" s="139"/>
    </row>
    <row r="54" spans="2:15" s="51" customFormat="1" ht="15" customHeight="1" x14ac:dyDescent="0.25">
      <c r="B54" s="55"/>
      <c r="C54" s="146" t="str" cm="1">
        <f t="array" ref="C54">IFERROR(IF(_xlfn.XLOOKUP(_xlfn.XLOOKUP(B54,Tabla9[ID],Tabla9[ID_H.U]),Tabla8[ID],Tabla8[SPRINT])=$J$9,INDEX(Tabla9[TAREA],SMALL(IF("Pendiente"=Tabla9[ESTADO],MATCH(ROW(Tabla9[ESTADO]),ROW(Tabla9[ESTADO]))," "),ROWS($A$1:A42)))," ")," ")</f>
        <v xml:space="preserve"> </v>
      </c>
      <c r="D54" s="146"/>
      <c r="E54" s="146"/>
      <c r="F54" s="146"/>
      <c r="G54" s="55"/>
      <c r="H54" s="146" t="str" cm="1">
        <f t="array" ref="H54">IFERROR(IF(_xlfn.XLOOKUP(_xlfn.XLOOKUP(G54,Tabla9[ID],Tabla9[ID_H.U]),Tabla8[ID],Tabla8[SPRINT])=$J$9,INDEX(Tabla9[TAREA],SMALL(IF("En progreso"=Tabla9[ESTADO],MATCH(ROW(Tabla9[ESTADO]),ROW(Tabla9[ESTADO]))," "),ROWS($A$1:A42)))," ")," ")</f>
        <v xml:space="preserve"> </v>
      </c>
      <c r="I54" s="146"/>
      <c r="J54" s="146"/>
      <c r="K54" s="146"/>
      <c r="L54" s="55"/>
      <c r="M54" s="139" t="str" cm="1">
        <f t="array" ref="M54">IFERROR(IF(_xlfn.XLOOKUP(_xlfn.XLOOKUP(L54,Tabla9[ID],Tabla9[ID_H.U]),Tabla8[ID],Tabla8[SPRINT])=$J$9,INDEX(Tabla9[TAREA],SMALL(IF("Finalizado"=Tabla9[ESTADO],MATCH(ROW(Tabla9[ESTADO]),ROW(Tabla9[ESTADO]))," "),ROWS($A$1:A42)))," ")," ")</f>
        <v xml:space="preserve"> </v>
      </c>
      <c r="N54" s="139"/>
      <c r="O54" s="139"/>
    </row>
    <row r="55" spans="2:15" s="51" customFormat="1" ht="15" customHeight="1" x14ac:dyDescent="0.25">
      <c r="B55" s="55"/>
      <c r="C55" s="146" t="str" cm="1">
        <f t="array" ref="C55">IFERROR(IF(_xlfn.XLOOKUP(_xlfn.XLOOKUP(B55,Tabla9[ID],Tabla9[ID_H.U]),Tabla8[ID],Tabla8[SPRINT])=$J$9,INDEX(Tabla9[TAREA],SMALL(IF("Pendiente"=Tabla9[ESTADO],MATCH(ROW(Tabla9[ESTADO]),ROW(Tabla9[ESTADO]))," "),ROWS($A$1:A43)))," ")," ")</f>
        <v xml:space="preserve"> </v>
      </c>
      <c r="D55" s="146"/>
      <c r="E55" s="146"/>
      <c r="F55" s="146"/>
      <c r="G55" s="55"/>
      <c r="H55" s="146" t="str" cm="1">
        <f t="array" ref="H55">IFERROR(IF(_xlfn.XLOOKUP(_xlfn.XLOOKUP(G55,Tabla9[ID],Tabla9[ID_H.U]),Tabla8[ID],Tabla8[SPRINT])=$J$9,INDEX(Tabla9[TAREA],SMALL(IF("En progreso"=Tabla9[ESTADO],MATCH(ROW(Tabla9[ESTADO]),ROW(Tabla9[ESTADO]))," "),ROWS($A$1:A43)))," ")," ")</f>
        <v xml:space="preserve"> </v>
      </c>
      <c r="I55" s="146"/>
      <c r="J55" s="146"/>
      <c r="K55" s="146"/>
      <c r="L55" s="55"/>
      <c r="M55" s="139" t="str" cm="1">
        <f t="array" ref="M55">IFERROR(IF(_xlfn.XLOOKUP(_xlfn.XLOOKUP(L55,Tabla9[ID],Tabla9[ID_H.U]),Tabla8[ID],Tabla8[SPRINT])=$J$9,INDEX(Tabla9[TAREA],SMALL(IF("Finalizado"=Tabla9[ESTADO],MATCH(ROW(Tabla9[ESTADO]),ROW(Tabla9[ESTADO]))," "),ROWS($A$1:A43)))," ")," ")</f>
        <v xml:space="preserve"> </v>
      </c>
      <c r="N55" s="139"/>
      <c r="O55" s="139"/>
    </row>
    <row r="56" spans="2:15" s="51" customFormat="1" ht="15" customHeight="1" x14ac:dyDescent="0.25">
      <c r="B56" s="55"/>
      <c r="C56" s="146" t="str" cm="1">
        <f t="array" ref="C56">IFERROR(IF(_xlfn.XLOOKUP(_xlfn.XLOOKUP(B56,Tabla9[ID],Tabla9[ID_H.U]),Tabla8[ID],Tabla8[SPRINT])=$J$9,INDEX(Tabla9[TAREA],SMALL(IF("Pendiente"=Tabla9[ESTADO],MATCH(ROW(Tabla9[ESTADO]),ROW(Tabla9[ESTADO]))," "),ROWS($A$1:A44)))," ")," ")</f>
        <v xml:space="preserve"> </v>
      </c>
      <c r="D56" s="146"/>
      <c r="E56" s="146"/>
      <c r="F56" s="146"/>
      <c r="G56" s="55"/>
      <c r="H56" s="146" t="str" cm="1">
        <f t="array" ref="H56">IFERROR(IF(_xlfn.XLOOKUP(_xlfn.XLOOKUP(G56,Tabla9[ID],Tabla9[ID_H.U]),Tabla8[ID],Tabla8[SPRINT])=$J$9,INDEX(Tabla9[TAREA],SMALL(IF("En progreso"=Tabla9[ESTADO],MATCH(ROW(Tabla9[ESTADO]),ROW(Tabla9[ESTADO]))," "),ROWS($A$1:A44)))," ")," ")</f>
        <v xml:space="preserve"> </v>
      </c>
      <c r="I56" s="146"/>
      <c r="J56" s="146"/>
      <c r="K56" s="146"/>
      <c r="L56" s="55"/>
      <c r="M56" s="139" t="str" cm="1">
        <f t="array" ref="M56">IFERROR(IF(_xlfn.XLOOKUP(_xlfn.XLOOKUP(L56,Tabla9[ID],Tabla9[ID_H.U]),Tabla8[ID],Tabla8[SPRINT])=$J$9,INDEX(Tabla9[TAREA],SMALL(IF("Finalizado"=Tabla9[ESTADO],MATCH(ROW(Tabla9[ESTADO]),ROW(Tabla9[ESTADO]))," "),ROWS($A$1:A44)))," ")," ")</f>
        <v xml:space="preserve"> </v>
      </c>
      <c r="N56" s="139"/>
      <c r="O56" s="139"/>
    </row>
    <row r="57" spans="2:15" s="51" customFormat="1" ht="15" customHeight="1" x14ac:dyDescent="0.25">
      <c r="B57" s="55"/>
      <c r="C57" s="146" t="str" cm="1">
        <f t="array" ref="C57">IFERROR(IF(_xlfn.XLOOKUP(_xlfn.XLOOKUP(B57,Tabla9[ID],Tabla9[ID_H.U]),Tabla8[ID],Tabla8[SPRINT])=$J$9,INDEX(Tabla9[TAREA],SMALL(IF("Pendiente"=Tabla9[ESTADO],MATCH(ROW(Tabla9[ESTADO]),ROW(Tabla9[ESTADO]))," "),ROWS($A$1:A45)))," ")," ")</f>
        <v xml:space="preserve"> </v>
      </c>
      <c r="D57" s="146"/>
      <c r="E57" s="146"/>
      <c r="F57" s="146"/>
      <c r="G57" s="55"/>
      <c r="H57" s="146" t="str" cm="1">
        <f t="array" ref="H57">IFERROR(IF(_xlfn.XLOOKUP(_xlfn.XLOOKUP(G57,Tabla9[ID],Tabla9[ID_H.U]),Tabla8[ID],Tabla8[SPRINT])=$J$9,INDEX(Tabla9[TAREA],SMALL(IF("En progreso"=Tabla9[ESTADO],MATCH(ROW(Tabla9[ESTADO]),ROW(Tabla9[ESTADO]))," "),ROWS($A$1:A45)))," ")," ")</f>
        <v xml:space="preserve"> </v>
      </c>
      <c r="I57" s="146"/>
      <c r="J57" s="146"/>
      <c r="K57" s="146"/>
      <c r="L57" s="55"/>
      <c r="M57" s="139" t="str" cm="1">
        <f t="array" ref="M57">IFERROR(IF(_xlfn.XLOOKUP(_xlfn.XLOOKUP(L57,Tabla9[ID],Tabla9[ID_H.U]),Tabla8[ID],Tabla8[SPRINT])=$J$9,INDEX(Tabla9[TAREA],SMALL(IF("Finalizado"=Tabla9[ESTADO],MATCH(ROW(Tabla9[ESTADO]),ROW(Tabla9[ESTADO]))," "),ROWS($A$1:A45)))," ")," ")</f>
        <v xml:space="preserve"> </v>
      </c>
      <c r="N57" s="139"/>
      <c r="O57" s="139"/>
    </row>
    <row r="58" spans="2:15" s="51" customFormat="1" ht="15" customHeight="1" x14ac:dyDescent="0.25">
      <c r="B58" s="55"/>
      <c r="C58" s="146" t="str" cm="1">
        <f t="array" ref="C58">IFERROR(IF(_xlfn.XLOOKUP(_xlfn.XLOOKUP(B58,Tabla9[ID],Tabla9[ID_H.U]),Tabla8[ID],Tabla8[SPRINT])=$J$9,INDEX(Tabla9[TAREA],SMALL(IF("Pendiente"=Tabla9[ESTADO],MATCH(ROW(Tabla9[ESTADO]),ROW(Tabla9[ESTADO]))," "),ROWS($A$1:A46)))," ")," ")</f>
        <v xml:space="preserve"> </v>
      </c>
      <c r="D58" s="146"/>
      <c r="E58" s="146"/>
      <c r="F58" s="146"/>
      <c r="G58" s="55"/>
      <c r="H58" s="146" t="str" cm="1">
        <f t="array" ref="H58">IFERROR(IF(_xlfn.XLOOKUP(_xlfn.XLOOKUP(G58,Tabla9[ID],Tabla9[ID_H.U]),Tabla8[ID],Tabla8[SPRINT])=$J$9,INDEX(Tabla9[TAREA],SMALL(IF("En progreso"=Tabla9[ESTADO],MATCH(ROW(Tabla9[ESTADO]),ROW(Tabla9[ESTADO]))," "),ROWS($A$1:A46)))," ")," ")</f>
        <v xml:space="preserve"> </v>
      </c>
      <c r="I58" s="146"/>
      <c r="J58" s="146"/>
      <c r="K58" s="146"/>
      <c r="L58" s="55"/>
      <c r="M58" s="139" t="str" cm="1">
        <f t="array" ref="M58">IFERROR(IF(_xlfn.XLOOKUP(_xlfn.XLOOKUP(L58,Tabla9[ID],Tabla9[ID_H.U]),Tabla8[ID],Tabla8[SPRINT])=$J$9,INDEX(Tabla9[TAREA],SMALL(IF("Finalizado"=Tabla9[ESTADO],MATCH(ROW(Tabla9[ESTADO]),ROW(Tabla9[ESTADO]))," "),ROWS($A$1:A46)))," ")," ")</f>
        <v xml:space="preserve"> </v>
      </c>
      <c r="N58" s="139"/>
      <c r="O58" s="139"/>
    </row>
    <row r="59" spans="2:15" s="51" customFormat="1" ht="15" customHeight="1" x14ac:dyDescent="0.25">
      <c r="B59" s="55"/>
      <c r="C59" s="146" t="str" cm="1">
        <f t="array" ref="C59">IFERROR(IF(_xlfn.XLOOKUP(_xlfn.XLOOKUP(B59,Tabla9[ID],Tabla9[ID_H.U]),Tabla8[ID],Tabla8[SPRINT])=$J$9,INDEX(Tabla9[TAREA],SMALL(IF("Pendiente"=Tabla9[ESTADO],MATCH(ROW(Tabla9[ESTADO]),ROW(Tabla9[ESTADO]))," "),ROWS($A$1:A47)))," ")," ")</f>
        <v xml:space="preserve"> </v>
      </c>
      <c r="D59" s="146"/>
      <c r="E59" s="146"/>
      <c r="F59" s="146"/>
      <c r="G59" s="55"/>
      <c r="H59" s="146" t="str" cm="1">
        <f t="array" ref="H59">IFERROR(IF(_xlfn.XLOOKUP(_xlfn.XLOOKUP(G59,Tabla9[ID],Tabla9[ID_H.U]),Tabla8[ID],Tabla8[SPRINT])=$J$9,INDEX(Tabla9[TAREA],SMALL(IF("En progreso"=Tabla9[ESTADO],MATCH(ROW(Tabla9[ESTADO]),ROW(Tabla9[ESTADO]))," "),ROWS($A$1:A47)))," ")," ")</f>
        <v xml:space="preserve"> </v>
      </c>
      <c r="I59" s="146"/>
      <c r="J59" s="146"/>
      <c r="K59" s="146"/>
      <c r="L59" s="55"/>
      <c r="M59" s="139" t="str" cm="1">
        <f t="array" ref="M59">IFERROR(IF(_xlfn.XLOOKUP(_xlfn.XLOOKUP(L59,Tabla9[ID],Tabla9[ID_H.U]),Tabla8[ID],Tabla8[SPRINT])=$J$9,INDEX(Tabla9[TAREA],SMALL(IF("Finalizado"=Tabla9[ESTADO],MATCH(ROW(Tabla9[ESTADO]),ROW(Tabla9[ESTADO]))," "),ROWS($A$1:A47)))," ")," ")</f>
        <v xml:space="preserve"> </v>
      </c>
      <c r="N59" s="139"/>
      <c r="O59" s="139"/>
    </row>
    <row r="60" spans="2:15" s="51" customFormat="1" ht="15" customHeight="1" x14ac:dyDescent="0.25">
      <c r="B60" s="55"/>
      <c r="C60" s="146" t="str" cm="1">
        <f t="array" ref="C60">IFERROR(IF(_xlfn.XLOOKUP(_xlfn.XLOOKUP(B60,Tabla9[ID],Tabla9[ID_H.U]),Tabla8[ID],Tabla8[SPRINT])=$J$9,INDEX(Tabla9[TAREA],SMALL(IF("Pendiente"=Tabla9[ESTADO],MATCH(ROW(Tabla9[ESTADO]),ROW(Tabla9[ESTADO]))," "),ROWS($A$1:A48)))," ")," ")</f>
        <v xml:space="preserve"> </v>
      </c>
      <c r="D60" s="146"/>
      <c r="E60" s="146"/>
      <c r="F60" s="146"/>
      <c r="G60" s="55"/>
      <c r="H60" s="146" t="str" cm="1">
        <f t="array" ref="H60">IFERROR(IF(_xlfn.XLOOKUP(_xlfn.XLOOKUP(G60,Tabla9[ID],Tabla9[ID_H.U]),Tabla8[ID],Tabla8[SPRINT])=$J$9,INDEX(Tabla9[TAREA],SMALL(IF("En progreso"=Tabla9[ESTADO],MATCH(ROW(Tabla9[ESTADO]),ROW(Tabla9[ESTADO]))," "),ROWS($A$1:A48)))," ")," ")</f>
        <v xml:space="preserve"> </v>
      </c>
      <c r="I60" s="146"/>
      <c r="J60" s="146"/>
      <c r="K60" s="146"/>
      <c r="L60" s="55"/>
      <c r="M60" s="139" t="str" cm="1">
        <f t="array" ref="M60">IFERROR(IF(_xlfn.XLOOKUP(_xlfn.XLOOKUP(L60,Tabla9[ID],Tabla9[ID_H.U]),Tabla8[ID],Tabla8[SPRINT])=$J$9,INDEX(Tabla9[TAREA],SMALL(IF("Finalizado"=Tabla9[ESTADO],MATCH(ROW(Tabla9[ESTADO]),ROW(Tabla9[ESTADO]))," "),ROWS($A$1:A48)))," ")," ")</f>
        <v xml:space="preserve"> </v>
      </c>
      <c r="N60" s="139"/>
      <c r="O60" s="139"/>
    </row>
    <row r="61" spans="2:15" s="51" customFormat="1" ht="15" customHeight="1" x14ac:dyDescent="0.25">
      <c r="B61" s="55"/>
      <c r="C61" s="146" t="str" cm="1">
        <f t="array" ref="C61">IFERROR(IF(_xlfn.XLOOKUP(_xlfn.XLOOKUP(B61,Tabla9[ID],Tabla9[ID_H.U]),Tabla8[ID],Tabla8[SPRINT])=$J$9,INDEX(Tabla9[TAREA],SMALL(IF("Pendiente"=Tabla9[ESTADO],MATCH(ROW(Tabla9[ESTADO]),ROW(Tabla9[ESTADO]))," "),ROWS($A$1:A49)))," ")," ")</f>
        <v xml:space="preserve"> </v>
      </c>
      <c r="D61" s="146"/>
      <c r="E61" s="146"/>
      <c r="F61" s="146"/>
      <c r="G61" s="55"/>
      <c r="H61" s="146" t="str" cm="1">
        <f t="array" ref="H61">IFERROR(IF(_xlfn.XLOOKUP(_xlfn.XLOOKUP(G61,Tabla9[ID],Tabla9[ID_H.U]),Tabla8[ID],Tabla8[SPRINT])=$J$9,INDEX(Tabla9[TAREA],SMALL(IF("En progreso"=Tabla9[ESTADO],MATCH(ROW(Tabla9[ESTADO]),ROW(Tabla9[ESTADO]))," "),ROWS($A$1:A49)))," ")," ")</f>
        <v xml:space="preserve"> </v>
      </c>
      <c r="I61" s="146"/>
      <c r="J61" s="146"/>
      <c r="K61" s="146"/>
      <c r="L61" s="55"/>
      <c r="M61" s="139" t="str" cm="1">
        <f t="array" ref="M61">IFERROR(IF(_xlfn.XLOOKUP(_xlfn.XLOOKUP(L61,Tabla9[ID],Tabla9[ID_H.U]),Tabla8[ID],Tabla8[SPRINT])=$J$9,INDEX(Tabla9[TAREA],SMALL(IF("Finalizado"=Tabla9[ESTADO],MATCH(ROW(Tabla9[ESTADO]),ROW(Tabla9[ESTADO]))," "),ROWS($A$1:A49)))," ")," ")</f>
        <v xml:space="preserve"> </v>
      </c>
      <c r="N61" s="139"/>
      <c r="O61" s="139"/>
    </row>
    <row r="62" spans="2:15" s="51" customFormat="1" ht="15" customHeight="1" x14ac:dyDescent="0.25">
      <c r="B62" s="55"/>
      <c r="C62" s="146" t="str" cm="1">
        <f t="array" ref="C62">IFERROR(IF(_xlfn.XLOOKUP(_xlfn.XLOOKUP(B62,Tabla9[ID],Tabla9[ID_H.U]),Tabla8[ID],Tabla8[SPRINT])=$J$9,INDEX(Tabla9[TAREA],SMALL(IF("Pendiente"=Tabla9[ESTADO],MATCH(ROW(Tabla9[ESTADO]),ROW(Tabla9[ESTADO]))," "),ROWS($A$1:A50)))," ")," ")</f>
        <v xml:space="preserve"> </v>
      </c>
      <c r="D62" s="146"/>
      <c r="E62" s="146"/>
      <c r="F62" s="146"/>
      <c r="G62" s="55"/>
      <c r="H62" s="146" t="str" cm="1">
        <f t="array" ref="H62">IFERROR(IF(_xlfn.XLOOKUP(_xlfn.XLOOKUP(G62,Tabla9[ID],Tabla9[ID_H.U]),Tabla8[ID],Tabla8[SPRINT])=$J$9,INDEX(Tabla9[TAREA],SMALL(IF("En progreso"=Tabla9[ESTADO],MATCH(ROW(Tabla9[ESTADO]),ROW(Tabla9[ESTADO]))," "),ROWS($A$1:A50)))," ")," ")</f>
        <v xml:space="preserve"> </v>
      </c>
      <c r="I62" s="146"/>
      <c r="J62" s="146"/>
      <c r="K62" s="146"/>
      <c r="L62" s="55"/>
      <c r="M62" s="139" t="str" cm="1">
        <f t="array" ref="M62">IFERROR(IF(_xlfn.XLOOKUP(_xlfn.XLOOKUP(L62,Tabla9[ID],Tabla9[ID_H.U]),Tabla8[ID],Tabla8[SPRINT])=$J$9,INDEX(Tabla9[TAREA],SMALL(IF("Finalizado"=Tabla9[ESTADO],MATCH(ROW(Tabla9[ESTADO]),ROW(Tabla9[ESTADO]))," "),ROWS($A$1:A50)))," ")," ")</f>
        <v xml:space="preserve"> </v>
      </c>
      <c r="N62" s="139"/>
      <c r="O62" s="139"/>
    </row>
    <row r="63" spans="2:15" s="51" customFormat="1" ht="15" customHeight="1" x14ac:dyDescent="0.25">
      <c r="B63" s="55"/>
      <c r="C63" s="146" t="str" cm="1">
        <f t="array" ref="C63">IFERROR(IF(_xlfn.XLOOKUP(_xlfn.XLOOKUP(B63,Tabla9[ID],Tabla9[ID_H.U]),Tabla8[ID],Tabla8[SPRINT])=$J$9,INDEX(Tabla9[TAREA],SMALL(IF("Pendiente"=Tabla9[ESTADO],MATCH(ROW(Tabla9[ESTADO]),ROW(Tabla9[ESTADO]))," "),ROWS($A$1:A51)))," ")," ")</f>
        <v xml:space="preserve"> </v>
      </c>
      <c r="D63" s="146"/>
      <c r="E63" s="146"/>
      <c r="F63" s="146"/>
      <c r="G63" s="55"/>
      <c r="H63" s="146" t="str" cm="1">
        <f t="array" ref="H63">IFERROR(IF(_xlfn.XLOOKUP(_xlfn.XLOOKUP(G63,Tabla9[ID],Tabla9[ID_H.U]),Tabla8[ID],Tabla8[SPRINT])=$J$9,INDEX(Tabla9[TAREA],SMALL(IF("En progreso"=Tabla9[ESTADO],MATCH(ROW(Tabla9[ESTADO]),ROW(Tabla9[ESTADO]))," "),ROWS($A$1:A51)))," ")," ")</f>
        <v xml:space="preserve"> </v>
      </c>
      <c r="I63" s="146"/>
      <c r="J63" s="146"/>
      <c r="K63" s="146"/>
      <c r="L63" s="55"/>
      <c r="M63" s="139" t="str" cm="1">
        <f t="array" ref="M63">IFERROR(IF(_xlfn.XLOOKUP(_xlfn.XLOOKUP(L63,Tabla9[ID],Tabla9[ID_H.U]),Tabla8[ID],Tabla8[SPRINT])=$J$9,INDEX(Tabla9[TAREA],SMALL(IF("Finalizado"=Tabla9[ESTADO],MATCH(ROW(Tabla9[ESTADO]),ROW(Tabla9[ESTADO]))," "),ROWS($A$1:A51)))," ")," ")</f>
        <v xml:space="preserve"> </v>
      </c>
      <c r="N63" s="139"/>
      <c r="O63" s="139"/>
    </row>
    <row r="64" spans="2:15" s="51" customFormat="1" ht="15" customHeight="1" x14ac:dyDescent="0.25">
      <c r="B64" s="55"/>
      <c r="C64" s="146" t="str" cm="1">
        <f t="array" ref="C64">IFERROR(IF(_xlfn.XLOOKUP(_xlfn.XLOOKUP(B64,Tabla9[ID],Tabla9[ID_H.U]),Tabla8[ID],Tabla8[SPRINT])=$J$9,INDEX(Tabla9[TAREA],SMALL(IF("Pendiente"=Tabla9[ESTADO],MATCH(ROW(Tabla9[ESTADO]),ROW(Tabla9[ESTADO]))," "),ROWS($A$1:A52)))," ")," ")</f>
        <v xml:space="preserve"> </v>
      </c>
      <c r="D64" s="146"/>
      <c r="E64" s="146"/>
      <c r="F64" s="146"/>
      <c r="G64" s="55"/>
      <c r="H64" s="146" t="str" cm="1">
        <f t="array" ref="H64">IFERROR(IF(_xlfn.XLOOKUP(_xlfn.XLOOKUP(G64,Tabla9[ID],Tabla9[ID_H.U]),Tabla8[ID],Tabla8[SPRINT])=$J$9,INDEX(Tabla9[TAREA],SMALL(IF("En progreso"=Tabla9[ESTADO],MATCH(ROW(Tabla9[ESTADO]),ROW(Tabla9[ESTADO]))," "),ROWS($A$1:A52)))," ")," ")</f>
        <v xml:space="preserve"> </v>
      </c>
      <c r="I64" s="146"/>
      <c r="J64" s="146"/>
      <c r="K64" s="146"/>
      <c r="L64" s="55"/>
      <c r="M64" s="139" t="str" cm="1">
        <f t="array" ref="M64">IFERROR(IF(_xlfn.XLOOKUP(_xlfn.XLOOKUP(L64,Tabla9[ID],Tabla9[ID_H.U]),Tabla8[ID],Tabla8[SPRINT])=$J$9,INDEX(Tabla9[TAREA],SMALL(IF("Finalizado"=Tabla9[ESTADO],MATCH(ROW(Tabla9[ESTADO]),ROW(Tabla9[ESTADO]))," "),ROWS($A$1:A52)))," ")," ")</f>
        <v xml:space="preserve"> </v>
      </c>
      <c r="N64" s="139"/>
      <c r="O64" s="139"/>
    </row>
    <row r="65" spans="2:15" s="51" customFormat="1" ht="15" customHeight="1" x14ac:dyDescent="0.25">
      <c r="B65" s="55"/>
      <c r="C65" s="146" t="str" cm="1">
        <f t="array" ref="C65">IFERROR(IF(_xlfn.XLOOKUP(_xlfn.XLOOKUP(B65,Tabla9[ID],Tabla9[ID_H.U]),Tabla8[ID],Tabla8[SPRINT])=$J$9,INDEX(Tabla9[TAREA],SMALL(IF("Pendiente"=Tabla9[ESTADO],MATCH(ROW(Tabla9[ESTADO]),ROW(Tabla9[ESTADO]))," "),ROWS($A$1:A53)))," ")," ")</f>
        <v xml:space="preserve"> </v>
      </c>
      <c r="D65" s="146"/>
      <c r="E65" s="146"/>
      <c r="F65" s="146"/>
      <c r="G65" s="55"/>
      <c r="H65" s="146" t="str" cm="1">
        <f t="array" ref="H65">IFERROR(IF(_xlfn.XLOOKUP(_xlfn.XLOOKUP(G65,Tabla9[ID],Tabla9[ID_H.U]),Tabla8[ID],Tabla8[SPRINT])=$J$9,INDEX(Tabla9[TAREA],SMALL(IF("En progreso"=Tabla9[ESTADO],MATCH(ROW(Tabla9[ESTADO]),ROW(Tabla9[ESTADO]))," "),ROWS($A$1:A53)))," ")," ")</f>
        <v xml:space="preserve"> </v>
      </c>
      <c r="I65" s="146"/>
      <c r="J65" s="146"/>
      <c r="K65" s="146"/>
      <c r="L65" s="55"/>
      <c r="M65" s="139" t="str" cm="1">
        <f t="array" ref="M65">IFERROR(IF(_xlfn.XLOOKUP(_xlfn.XLOOKUP(L65,Tabla9[ID],Tabla9[ID_H.U]),Tabla8[ID],Tabla8[SPRINT])=$J$9,INDEX(Tabla9[TAREA],SMALL(IF("Finalizado"=Tabla9[ESTADO],MATCH(ROW(Tabla9[ESTADO]),ROW(Tabla9[ESTADO]))," "),ROWS($A$1:A53)))," ")," ")</f>
        <v xml:space="preserve"> </v>
      </c>
      <c r="N65" s="139"/>
      <c r="O65" s="139"/>
    </row>
    <row r="66" spans="2:15" s="51" customFormat="1" ht="15" customHeight="1" x14ac:dyDescent="0.25">
      <c r="B66" s="55"/>
      <c r="C66" s="146" t="str" cm="1">
        <f t="array" ref="C66">IFERROR(IF(_xlfn.XLOOKUP(_xlfn.XLOOKUP(B66,Tabla9[ID],Tabla9[ID_H.U]),Tabla8[ID],Tabla8[SPRINT])=$J$9,INDEX(Tabla9[TAREA],SMALL(IF("Pendiente"=Tabla9[ESTADO],MATCH(ROW(Tabla9[ESTADO]),ROW(Tabla9[ESTADO]))," "),ROWS($A$1:A54)))," ")," ")</f>
        <v xml:space="preserve"> </v>
      </c>
      <c r="D66" s="146"/>
      <c r="E66" s="146"/>
      <c r="F66" s="146"/>
      <c r="G66" s="55"/>
      <c r="H66" s="146" t="str" cm="1">
        <f t="array" ref="H66">IFERROR(IF(_xlfn.XLOOKUP(_xlfn.XLOOKUP(G66,Tabla9[ID],Tabla9[ID_H.U]),Tabla8[ID],Tabla8[SPRINT])=$J$9,INDEX(Tabla9[TAREA],SMALL(IF("En progreso"=Tabla9[ESTADO],MATCH(ROW(Tabla9[ESTADO]),ROW(Tabla9[ESTADO]))," "),ROWS($A$1:A54)))," ")," ")</f>
        <v xml:space="preserve"> </v>
      </c>
      <c r="I66" s="146"/>
      <c r="J66" s="146"/>
      <c r="K66" s="146"/>
      <c r="L66" s="55"/>
      <c r="M66" s="139" t="str" cm="1">
        <f t="array" ref="M66">IFERROR(IF(_xlfn.XLOOKUP(_xlfn.XLOOKUP(L66,Tabla9[ID],Tabla9[ID_H.U]),Tabla8[ID],Tabla8[SPRINT])=$J$9,INDEX(Tabla9[TAREA],SMALL(IF("Finalizado"=Tabla9[ESTADO],MATCH(ROW(Tabla9[ESTADO]),ROW(Tabla9[ESTADO]))," "),ROWS($A$1:A54)))," ")," ")</f>
        <v xml:space="preserve"> </v>
      </c>
      <c r="N66" s="139"/>
      <c r="O66" s="139"/>
    </row>
    <row r="67" spans="2:15" s="51" customFormat="1" ht="15" customHeight="1" x14ac:dyDescent="0.25">
      <c r="B67" s="55"/>
      <c r="C67" s="146" t="str" cm="1">
        <f t="array" ref="C67">IFERROR(IF(_xlfn.XLOOKUP(_xlfn.XLOOKUP(B67,Tabla9[ID],Tabla9[ID_H.U]),Tabla8[ID],Tabla8[SPRINT])=$J$9,INDEX(Tabla9[TAREA],SMALL(IF("Pendiente"=Tabla9[ESTADO],MATCH(ROW(Tabla9[ESTADO]),ROW(Tabla9[ESTADO]))," "),ROWS($A$1:A55)))," ")," ")</f>
        <v xml:space="preserve"> </v>
      </c>
      <c r="D67" s="146"/>
      <c r="E67" s="146"/>
      <c r="F67" s="146"/>
      <c r="G67" s="55"/>
      <c r="H67" s="146" t="str" cm="1">
        <f t="array" ref="H67">IFERROR(IF(_xlfn.XLOOKUP(_xlfn.XLOOKUP(G67,Tabla9[ID],Tabla9[ID_H.U]),Tabla8[ID],Tabla8[SPRINT])=$J$9,INDEX(Tabla9[TAREA],SMALL(IF("En progreso"=Tabla9[ESTADO],MATCH(ROW(Tabla9[ESTADO]),ROW(Tabla9[ESTADO]))," "),ROWS($A$1:A55)))," ")," ")</f>
        <v xml:space="preserve"> </v>
      </c>
      <c r="I67" s="146"/>
      <c r="J67" s="146"/>
      <c r="K67" s="146"/>
      <c r="L67" s="55"/>
      <c r="M67" s="139" t="str" cm="1">
        <f t="array" ref="M67">IFERROR(IF(_xlfn.XLOOKUP(_xlfn.XLOOKUP(L67,Tabla9[ID],Tabla9[ID_H.U]),Tabla8[ID],Tabla8[SPRINT])=$J$9,INDEX(Tabla9[TAREA],SMALL(IF("Finalizado"=Tabla9[ESTADO],MATCH(ROW(Tabla9[ESTADO]),ROW(Tabla9[ESTADO]))," "),ROWS($A$1:A55)))," ")," ")</f>
        <v xml:space="preserve"> </v>
      </c>
      <c r="N67" s="139"/>
      <c r="O67" s="139"/>
    </row>
    <row r="68" spans="2:15" s="51" customFormat="1" ht="15" customHeight="1" x14ac:dyDescent="0.25">
      <c r="B68" s="55"/>
      <c r="C68" s="146" t="str" cm="1">
        <f t="array" ref="C68">IFERROR(IF(_xlfn.XLOOKUP(_xlfn.XLOOKUP(B68,Tabla9[ID],Tabla9[ID_H.U]),Tabla8[ID],Tabla8[SPRINT])=$J$9,INDEX(Tabla9[TAREA],SMALL(IF("Pendiente"=Tabla9[ESTADO],MATCH(ROW(Tabla9[ESTADO]),ROW(Tabla9[ESTADO]))," "),ROWS($A$1:A56)))," ")," ")</f>
        <v xml:space="preserve"> </v>
      </c>
      <c r="D68" s="146"/>
      <c r="E68" s="146"/>
      <c r="F68" s="146"/>
      <c r="G68" s="55"/>
      <c r="H68" s="146" t="str" cm="1">
        <f t="array" ref="H68">IFERROR(IF(_xlfn.XLOOKUP(_xlfn.XLOOKUP(G68,Tabla9[ID],Tabla9[ID_H.U]),Tabla8[ID],Tabla8[SPRINT])=$J$9,INDEX(Tabla9[TAREA],SMALL(IF("En progreso"=Tabla9[ESTADO],MATCH(ROW(Tabla9[ESTADO]),ROW(Tabla9[ESTADO]))," "),ROWS($A$1:A56)))," ")," ")</f>
        <v xml:space="preserve"> </v>
      </c>
      <c r="I68" s="146"/>
      <c r="J68" s="146"/>
      <c r="K68" s="146"/>
      <c r="L68" s="55"/>
      <c r="M68" s="139" t="str" cm="1">
        <f t="array" ref="M68">IFERROR(IF(_xlfn.XLOOKUP(_xlfn.XLOOKUP(L68,Tabla9[ID],Tabla9[ID_H.U]),Tabla8[ID],Tabla8[SPRINT])=$J$9,INDEX(Tabla9[TAREA],SMALL(IF("Finalizado"=Tabla9[ESTADO],MATCH(ROW(Tabla9[ESTADO]),ROW(Tabla9[ESTADO]))," "),ROWS($A$1:A56)))," ")," ")</f>
        <v xml:space="preserve"> </v>
      </c>
      <c r="N68" s="139"/>
      <c r="O68" s="139"/>
    </row>
    <row r="69" spans="2:15" s="51" customFormat="1" ht="15" customHeight="1" x14ac:dyDescent="0.25">
      <c r="B69" s="55"/>
      <c r="C69" s="146" t="str" cm="1">
        <f t="array" ref="C69">IFERROR(IF(_xlfn.XLOOKUP(_xlfn.XLOOKUP(B69,Tabla9[ID],Tabla9[ID_H.U]),Tabla8[ID],Tabla8[SPRINT])=$J$9,INDEX(Tabla9[TAREA],SMALL(IF("Pendiente"=Tabla9[ESTADO],MATCH(ROW(Tabla9[ESTADO]),ROW(Tabla9[ESTADO]))," "),ROWS($A$1:A57)))," ")," ")</f>
        <v xml:space="preserve"> </v>
      </c>
      <c r="D69" s="146"/>
      <c r="E69" s="146"/>
      <c r="F69" s="146"/>
      <c r="G69" s="55"/>
      <c r="H69" s="146" t="str" cm="1">
        <f t="array" ref="H69">IFERROR(IF(_xlfn.XLOOKUP(_xlfn.XLOOKUP(G69,Tabla9[ID],Tabla9[ID_H.U]),Tabla8[ID],Tabla8[SPRINT])=$J$9,INDEX(Tabla9[TAREA],SMALL(IF("En progreso"=Tabla9[ESTADO],MATCH(ROW(Tabla9[ESTADO]),ROW(Tabla9[ESTADO]))," "),ROWS($A$1:A57)))," ")," ")</f>
        <v xml:space="preserve"> </v>
      </c>
      <c r="I69" s="146"/>
      <c r="J69" s="146"/>
      <c r="K69" s="146"/>
      <c r="L69" s="55"/>
      <c r="M69" s="139" t="str" cm="1">
        <f t="array" ref="M69">IFERROR(IF(_xlfn.XLOOKUP(_xlfn.XLOOKUP(L69,Tabla9[ID],Tabla9[ID_H.U]),Tabla8[ID],Tabla8[SPRINT])=$J$9,INDEX(Tabla9[TAREA],SMALL(IF("Finalizado"=Tabla9[ESTADO],MATCH(ROW(Tabla9[ESTADO]),ROW(Tabla9[ESTADO]))," "),ROWS($A$1:A57)))," ")," ")</f>
        <v xml:space="preserve"> </v>
      </c>
      <c r="N69" s="139"/>
      <c r="O69" s="139"/>
    </row>
    <row r="70" spans="2:15" s="51" customFormat="1" ht="15" customHeight="1" x14ac:dyDescent="0.25">
      <c r="B70" s="55"/>
      <c r="C70" s="146" t="str" cm="1">
        <f t="array" ref="C70">IFERROR(IF(_xlfn.XLOOKUP(_xlfn.XLOOKUP(B70,Tabla9[ID],Tabla9[ID_H.U]),Tabla8[ID],Tabla8[SPRINT])=$J$9,INDEX(Tabla9[TAREA],SMALL(IF("Pendiente"=Tabla9[ESTADO],MATCH(ROW(Tabla9[ESTADO]),ROW(Tabla9[ESTADO]))," "),ROWS($A$1:A58)))," ")," ")</f>
        <v xml:space="preserve"> </v>
      </c>
      <c r="D70" s="146"/>
      <c r="E70" s="146"/>
      <c r="F70" s="146"/>
      <c r="G70" s="55"/>
      <c r="H70" s="146" t="str" cm="1">
        <f t="array" ref="H70">IFERROR(IF(_xlfn.XLOOKUP(_xlfn.XLOOKUP(G70,Tabla9[ID],Tabla9[ID_H.U]),Tabla8[ID],Tabla8[SPRINT])=$J$9,INDEX(Tabla9[TAREA],SMALL(IF("En progreso"=Tabla9[ESTADO],MATCH(ROW(Tabla9[ESTADO]),ROW(Tabla9[ESTADO]))," "),ROWS($A$1:A58)))," ")," ")</f>
        <v xml:space="preserve"> </v>
      </c>
      <c r="I70" s="146"/>
      <c r="J70" s="146"/>
      <c r="K70" s="146"/>
      <c r="L70" s="55"/>
      <c r="M70" s="139" t="str" cm="1">
        <f t="array" ref="M70">IFERROR(IF(_xlfn.XLOOKUP(_xlfn.XLOOKUP(L70,Tabla9[ID],Tabla9[ID_H.U]),Tabla8[ID],Tabla8[SPRINT])=$J$9,INDEX(Tabla9[TAREA],SMALL(IF("Finalizado"=Tabla9[ESTADO],MATCH(ROW(Tabla9[ESTADO]),ROW(Tabla9[ESTADO]))," "),ROWS($A$1:A58)))," ")," ")</f>
        <v xml:space="preserve"> </v>
      </c>
      <c r="N70" s="139"/>
      <c r="O70" s="139"/>
    </row>
    <row r="71" spans="2:15" s="51" customFormat="1" ht="15" customHeight="1" x14ac:dyDescent="0.25">
      <c r="B71" s="55"/>
      <c r="C71" s="146" t="str" cm="1">
        <f t="array" ref="C71">IFERROR(IF(_xlfn.XLOOKUP(_xlfn.XLOOKUP(B71,Tabla9[ID],Tabla9[ID_H.U]),Tabla8[ID],Tabla8[SPRINT])=$J$9,INDEX(Tabla9[TAREA],SMALL(IF("Pendiente"=Tabla9[ESTADO],MATCH(ROW(Tabla9[ESTADO]),ROW(Tabla9[ESTADO]))," "),ROWS($A$1:A59)))," ")," ")</f>
        <v xml:space="preserve"> </v>
      </c>
      <c r="D71" s="146"/>
      <c r="E71" s="146"/>
      <c r="F71" s="146"/>
      <c r="G71" s="55"/>
      <c r="H71" s="146" t="str" cm="1">
        <f t="array" ref="H71">IFERROR(IF(_xlfn.XLOOKUP(_xlfn.XLOOKUP(G71,Tabla9[ID],Tabla9[ID_H.U]),Tabla8[ID],Tabla8[SPRINT])=$J$9,INDEX(Tabla9[TAREA],SMALL(IF("En progreso"=Tabla9[ESTADO],MATCH(ROW(Tabla9[ESTADO]),ROW(Tabla9[ESTADO]))," "),ROWS($A$1:A59)))," ")," ")</f>
        <v xml:space="preserve"> </v>
      </c>
      <c r="I71" s="146"/>
      <c r="J71" s="146"/>
      <c r="K71" s="146"/>
      <c r="L71" s="55"/>
      <c r="M71" s="139" t="str" cm="1">
        <f t="array" ref="M71">IFERROR(IF(_xlfn.XLOOKUP(_xlfn.XLOOKUP(L71,Tabla9[ID],Tabla9[ID_H.U]),Tabla8[ID],Tabla8[SPRINT])=$J$9,INDEX(Tabla9[TAREA],SMALL(IF("Finalizado"=Tabla9[ESTADO],MATCH(ROW(Tabla9[ESTADO]),ROW(Tabla9[ESTADO]))," "),ROWS($A$1:A59)))," ")," ")</f>
        <v xml:space="preserve"> </v>
      </c>
      <c r="N71" s="139"/>
      <c r="O71" s="139"/>
    </row>
    <row r="72" spans="2:15" s="51" customFormat="1" ht="15" customHeight="1" x14ac:dyDescent="0.25">
      <c r="B72" s="55"/>
      <c r="C72" s="146" t="str" cm="1">
        <f t="array" ref="C72">IFERROR(IF(_xlfn.XLOOKUP(_xlfn.XLOOKUP(B72,Tabla9[ID],Tabla9[ID_H.U]),Tabla8[ID],Tabla8[SPRINT])=$J$9,INDEX(Tabla9[TAREA],SMALL(IF("Pendiente"=Tabla9[ESTADO],MATCH(ROW(Tabla9[ESTADO]),ROW(Tabla9[ESTADO]))," "),ROWS($A$1:A60)))," ")," ")</f>
        <v xml:space="preserve"> </v>
      </c>
      <c r="D72" s="146"/>
      <c r="E72" s="146"/>
      <c r="F72" s="146"/>
      <c r="G72" s="55"/>
      <c r="H72" s="146" t="str" cm="1">
        <f t="array" ref="H72">IFERROR(IF(_xlfn.XLOOKUP(_xlfn.XLOOKUP(G72,Tabla9[ID],Tabla9[ID_H.U]),Tabla8[ID],Tabla8[SPRINT])=$J$9,INDEX(Tabla9[TAREA],SMALL(IF("En progreso"=Tabla9[ESTADO],MATCH(ROW(Tabla9[ESTADO]),ROW(Tabla9[ESTADO]))," "),ROWS($A$1:A60)))," ")," ")</f>
        <v xml:space="preserve"> </v>
      </c>
      <c r="I72" s="146"/>
      <c r="J72" s="146"/>
      <c r="K72" s="146"/>
      <c r="L72" s="55"/>
      <c r="M72" s="139" t="str" cm="1">
        <f t="array" ref="M72">IFERROR(IF(_xlfn.XLOOKUP(_xlfn.XLOOKUP(L72,Tabla9[ID],Tabla9[ID_H.U]),Tabla8[ID],Tabla8[SPRINT])=$J$9,INDEX(Tabla9[TAREA],SMALL(IF("Finalizado"=Tabla9[ESTADO],MATCH(ROW(Tabla9[ESTADO]),ROW(Tabla9[ESTADO]))," "),ROWS($A$1:A60)))," ")," ")</f>
        <v xml:space="preserve"> </v>
      </c>
      <c r="N72" s="139"/>
      <c r="O72" s="139"/>
    </row>
    <row r="73" spans="2:15" s="51" customFormat="1" ht="15" customHeight="1" x14ac:dyDescent="0.25">
      <c r="B73" s="55"/>
      <c r="C73" s="146" t="str" cm="1">
        <f t="array" ref="C73">IFERROR(IF(_xlfn.XLOOKUP(_xlfn.XLOOKUP(B73,Tabla9[ID],Tabla9[ID_H.U]),Tabla8[ID],Tabla8[SPRINT])=$J$9,INDEX(Tabla9[TAREA],SMALL(IF("Pendiente"=Tabla9[ESTADO],MATCH(ROW(Tabla9[ESTADO]),ROW(Tabla9[ESTADO]))," "),ROWS($A$1:A61)))," ")," ")</f>
        <v xml:space="preserve"> </v>
      </c>
      <c r="D73" s="146"/>
      <c r="E73" s="146"/>
      <c r="F73" s="146"/>
      <c r="G73" s="55"/>
      <c r="H73" s="146" t="str" cm="1">
        <f t="array" ref="H73">IFERROR(IF(_xlfn.XLOOKUP(_xlfn.XLOOKUP(G73,Tabla9[ID],Tabla9[ID_H.U]),Tabla8[ID],Tabla8[SPRINT])=$J$9,INDEX(Tabla9[TAREA],SMALL(IF("En progreso"=Tabla9[ESTADO],MATCH(ROW(Tabla9[ESTADO]),ROW(Tabla9[ESTADO]))," "),ROWS($A$1:A61)))," ")," ")</f>
        <v xml:space="preserve"> </v>
      </c>
      <c r="I73" s="146"/>
      <c r="J73" s="146"/>
      <c r="K73" s="146"/>
      <c r="L73" s="55"/>
      <c r="M73" s="139" t="str" cm="1">
        <f t="array" ref="M73">IFERROR(IF(_xlfn.XLOOKUP(_xlfn.XLOOKUP(L73,Tabla9[ID],Tabla9[ID_H.U]),Tabla8[ID],Tabla8[SPRINT])=$J$9,INDEX(Tabla9[TAREA],SMALL(IF("Finalizado"=Tabla9[ESTADO],MATCH(ROW(Tabla9[ESTADO]),ROW(Tabla9[ESTADO]))," "),ROWS($A$1:A61)))," ")," ")</f>
        <v xml:space="preserve"> </v>
      </c>
      <c r="N73" s="139"/>
      <c r="O73" s="139"/>
    </row>
    <row r="74" spans="2:15" s="51" customFormat="1" ht="15" customHeight="1" x14ac:dyDescent="0.25">
      <c r="B74" s="55"/>
      <c r="C74" s="146" t="str" cm="1">
        <f t="array" ref="C74">IFERROR(IF(_xlfn.XLOOKUP(_xlfn.XLOOKUP(B74,Tabla9[ID],Tabla9[ID_H.U]),Tabla8[ID],Tabla8[SPRINT])=$J$9,INDEX(Tabla9[TAREA],SMALL(IF("Pendiente"=Tabla9[ESTADO],MATCH(ROW(Tabla9[ESTADO]),ROW(Tabla9[ESTADO]))," "),ROWS($A$1:A62)))," ")," ")</f>
        <v xml:space="preserve"> </v>
      </c>
      <c r="D74" s="146"/>
      <c r="E74" s="146"/>
      <c r="F74" s="146"/>
      <c r="G74" s="55"/>
      <c r="H74" s="146" t="str" cm="1">
        <f t="array" ref="H74">IFERROR(IF(_xlfn.XLOOKUP(_xlfn.XLOOKUP(G74,Tabla9[ID],Tabla9[ID_H.U]),Tabla8[ID],Tabla8[SPRINT])=$J$9,INDEX(Tabla9[TAREA],SMALL(IF("En progreso"=Tabla9[ESTADO],MATCH(ROW(Tabla9[ESTADO]),ROW(Tabla9[ESTADO]))," "),ROWS($A$1:A62)))," ")," ")</f>
        <v xml:space="preserve"> </v>
      </c>
      <c r="I74" s="146"/>
      <c r="J74" s="146"/>
      <c r="K74" s="146"/>
      <c r="L74" s="55"/>
      <c r="M74" s="139" t="str" cm="1">
        <f t="array" ref="M74">IFERROR(IF(_xlfn.XLOOKUP(_xlfn.XLOOKUP(L74,Tabla9[ID],Tabla9[ID_H.U]),Tabla8[ID],Tabla8[SPRINT])=$J$9,INDEX(Tabla9[TAREA],SMALL(IF("Finalizado"=Tabla9[ESTADO],MATCH(ROW(Tabla9[ESTADO]),ROW(Tabla9[ESTADO]))," "),ROWS($A$1:A62)))," ")," ")</f>
        <v xml:space="preserve"> </v>
      </c>
      <c r="N74" s="139"/>
      <c r="O74" s="139"/>
    </row>
    <row r="75" spans="2:15" s="51" customFormat="1" ht="15" customHeight="1" x14ac:dyDescent="0.25">
      <c r="B75" s="55"/>
      <c r="C75" s="146" t="str" cm="1">
        <f t="array" ref="C75">IFERROR(IF(_xlfn.XLOOKUP(_xlfn.XLOOKUP(B75,Tabla9[ID],Tabla9[ID_H.U]),Tabla8[ID],Tabla8[SPRINT])=J71,INDEX(Tabla9[TAREA],SMALL(IF("Pendiente"=Tabla9[ESTADO],MATCH(ROW(Tabla9[ESTADO]),ROW(Tabla9[ESTADO]))," "),ROWS($A$1:A63)))," ")," ")</f>
        <v xml:space="preserve"> </v>
      </c>
      <c r="D75" s="146"/>
      <c r="E75" s="146"/>
      <c r="F75" s="146"/>
      <c r="G75" s="55"/>
      <c r="H75" s="146" t="str" cm="1">
        <f t="array" ref="H75">IFERROR(IF(_xlfn.XLOOKUP(_xlfn.XLOOKUP(G75,Tabla9[ID],Tabla9[ID_H.U]),Tabla8[ID],Tabla8[SPRINT])=$J$9,INDEX(Tabla9[TAREA],SMALL(IF("En progreso"=Tabla9[ESTADO],MATCH(ROW(Tabla9[ESTADO]),ROW(Tabla9[ESTADO]))," "),ROWS($A$1:A63)))," ")," ")</f>
        <v xml:space="preserve"> </v>
      </c>
      <c r="I75" s="146"/>
      <c r="J75" s="146"/>
      <c r="K75" s="146"/>
      <c r="L75" s="55"/>
      <c r="M75" s="139" t="str" cm="1">
        <f t="array" ref="M75">IFERROR(IF(_xlfn.XLOOKUP(_xlfn.XLOOKUP(L75,Tabla9[ID],Tabla9[ID_H.U]),Tabla8[ID],Tabla8[SPRINT])=$J$9,INDEX(Tabla9[TAREA],SMALL(IF("Finalizado"=Tabla9[ESTADO],MATCH(ROW(Tabla9[ESTADO]),ROW(Tabla9[ESTADO]))," "),ROWS($A$1:A63)))," ")," ")</f>
        <v xml:space="preserve"> </v>
      </c>
      <c r="N75" s="139"/>
      <c r="O75" s="139"/>
    </row>
    <row r="76" spans="2:15" s="51" customFormat="1" ht="15" customHeight="1" x14ac:dyDescent="0.25">
      <c r="B76" s="55"/>
      <c r="C76" s="146" t="str" cm="1">
        <f t="array" ref="C76">IFERROR(IF(_xlfn.XLOOKUP(_xlfn.XLOOKUP(B76,Tabla9[ID],Tabla9[ID_H.U]),Tabla8[ID],Tabla8[SPRINT])=J72,INDEX(Tabla9[TAREA],SMALL(IF("Pendiente"=Tabla9[ESTADO],MATCH(ROW(Tabla9[ESTADO]),ROW(Tabla9[ESTADO]))," "),ROWS($A$1:A64)))," ")," ")</f>
        <v xml:space="preserve"> </v>
      </c>
      <c r="D76" s="146"/>
      <c r="E76" s="146"/>
      <c r="F76" s="146"/>
      <c r="G76" s="55"/>
      <c r="H76" s="146" t="str" cm="1">
        <f t="array" ref="H76">IFERROR(IF(_xlfn.XLOOKUP(_xlfn.XLOOKUP(G76,Tabla9[ID],Tabla9[ID_H.U]),Tabla8[ID],Tabla8[SPRINT])=$J$9,INDEX(Tabla9[TAREA],SMALL(IF("En progreso"=Tabla9[ESTADO],MATCH(ROW(Tabla9[ESTADO]),ROW(Tabla9[ESTADO]))," "),ROWS($A$1:A64)))," ")," ")</f>
        <v xml:space="preserve"> </v>
      </c>
      <c r="I76" s="146"/>
      <c r="J76" s="146"/>
      <c r="K76" s="146"/>
      <c r="L76" s="55"/>
      <c r="M76" s="139" t="str" cm="1">
        <f t="array" ref="M76">IFERROR(INDEX(Tabla9[TAREA],SMALL(IF("Finalizado"=Tabla9[ESTADO],MATCH(ROW(Tabla9[ESTADO]),ROW(Tabla9[ESTADO]))," "),ROWS($A$1:A64)))," ")</f>
        <v xml:space="preserve"> </v>
      </c>
      <c r="N76" s="139"/>
      <c r="O76" s="139"/>
    </row>
    <row r="77" spans="2:15" s="51" customFormat="1" ht="15" customHeight="1" x14ac:dyDescent="0.25">
      <c r="B77" s="55"/>
      <c r="C77" s="146" t="str" cm="1">
        <f t="array" ref="C77">IFERROR(IF(_xlfn.XLOOKUP(_xlfn.XLOOKUP(B77,Tabla9[ID],Tabla9[ID_H.U]),Tabla8[ID],Tabla8[SPRINT])=J73,INDEX(Tabla9[TAREA],SMALL(IF("Pendiente"=Tabla9[ESTADO],MATCH(ROW(Tabla9[ESTADO]),ROW(Tabla9[ESTADO]))," "),ROWS($A$1:A65)))," ")," ")</f>
        <v xml:space="preserve"> </v>
      </c>
      <c r="D77" s="146"/>
      <c r="E77" s="146"/>
      <c r="F77" s="146"/>
      <c r="G77" s="55"/>
      <c r="H77" s="146" t="str" cm="1">
        <f t="array" ref="H77">IFERROR(IF(_xlfn.XLOOKUP(_xlfn.XLOOKUP(G77,Tabla9[ID],Tabla9[ID_H.U]),Tabla8[ID],Tabla8[SPRINT])=$J$9,INDEX(Tabla9[TAREA],SMALL(IF("En progreso"=Tabla9[ESTADO],MATCH(ROW(Tabla9[ESTADO]),ROW(Tabla9[ESTADO]))," "),ROWS($A$1:A65)))," ")," ")</f>
        <v xml:space="preserve"> </v>
      </c>
      <c r="I77" s="146"/>
      <c r="J77" s="146"/>
      <c r="K77" s="146"/>
      <c r="L77" s="55"/>
      <c r="M77" s="139" t="str" cm="1">
        <f t="array" ref="M77">IFERROR(INDEX(Tabla9[TAREA],SMALL(IF("Finalizado"=Tabla9[ESTADO],MATCH(ROW(Tabla9[ESTADO]),ROW(Tabla9[ESTADO]))," "),ROWS($A$1:A65)))," ")</f>
        <v xml:space="preserve"> </v>
      </c>
      <c r="N77" s="139"/>
      <c r="O77" s="139"/>
    </row>
    <row r="78" spans="2:15" s="51" customFormat="1" ht="15" customHeight="1" x14ac:dyDescent="0.25">
      <c r="B78" s="55"/>
      <c r="C78" s="146" t="str" cm="1">
        <f t="array" ref="C78">IFERROR(IF(_xlfn.XLOOKUP(_xlfn.XLOOKUP(B78,Tabla9[ID],Tabla9[ID_H.U]),Tabla8[ID],Tabla8[SPRINT])=J74,INDEX(Tabla9[TAREA],SMALL(IF("Pendiente"=Tabla9[ESTADO],MATCH(ROW(Tabla9[ESTADO]),ROW(Tabla9[ESTADO]))," "),ROWS($A$1:A66)))," ")," ")</f>
        <v xml:space="preserve"> </v>
      </c>
      <c r="D78" s="146"/>
      <c r="E78" s="146"/>
      <c r="F78" s="146"/>
      <c r="G78" s="55"/>
      <c r="H78" s="146" t="str" cm="1">
        <f t="array" ref="H78">IFERROR(IF(_xlfn.XLOOKUP(_xlfn.XLOOKUP(G78,Tabla9[ID],Tabla9[ID_H.U]),Tabla8[ID],Tabla8[SPRINT])=$J$9,INDEX(Tabla9[TAREA],SMALL(IF("En progreso"=Tabla9[ESTADO],MATCH(ROW(Tabla9[ESTADO]),ROW(Tabla9[ESTADO]))," "),ROWS($A$1:A66)))," ")," ")</f>
        <v xml:space="preserve"> </v>
      </c>
      <c r="I78" s="146"/>
      <c r="J78" s="146"/>
      <c r="K78" s="146"/>
      <c r="L78" s="55"/>
      <c r="M78" s="139" t="str" cm="1">
        <f t="array" ref="M78">IFERROR(INDEX(Tabla9[TAREA],SMALL(IF("Finalizado"=Tabla9[ESTADO],MATCH(ROW(Tabla9[ESTADO]),ROW(Tabla9[ESTADO]))," "),ROWS($A$1:A66)))," ")</f>
        <v xml:space="preserve"> </v>
      </c>
      <c r="N78" s="139"/>
      <c r="O78" s="139"/>
    </row>
    <row r="79" spans="2:15" s="51" customFormat="1" ht="15" customHeight="1" x14ac:dyDescent="0.25">
      <c r="B79" s="55"/>
      <c r="C79" s="146" t="str" cm="1">
        <f t="array" ref="C79">IFERROR(INDEX(Tabla9[TAREA],SMALL(IF("Pendiente"=Tabla9[ESTADO],MATCH(ROW(Tabla9[ESTADO]),ROW(Tabla9[ESTADO]))," "),ROWS($A$1:A67)))," ")</f>
        <v xml:space="preserve"> </v>
      </c>
      <c r="D79" s="146"/>
      <c r="E79" s="146"/>
      <c r="F79" s="146"/>
      <c r="G79" s="55"/>
      <c r="H79" s="146" t="str" cm="1">
        <f t="array" ref="H79">IFERROR(IF(_xlfn.XLOOKUP(_xlfn.XLOOKUP(G79,Tabla9[ID],Tabla9[ID_H.U]),Tabla8[ID],Tabla8[SPRINT])=$J$9,INDEX(Tabla9[TAREA],SMALL(IF("En progreso"=Tabla9[ESTADO],MATCH(ROW(Tabla9[ESTADO]),ROW(Tabla9[ESTADO]))," "),ROWS($A$1:A67)))," ")," ")</f>
        <v xml:space="preserve"> </v>
      </c>
      <c r="I79" s="146"/>
      <c r="J79" s="146"/>
      <c r="K79" s="146"/>
      <c r="L79" s="55"/>
      <c r="M79" s="139" t="str" cm="1">
        <f t="array" ref="M79">IFERROR(INDEX(Tabla9[TAREA],SMALL(IF("Finalizado"=Tabla9[ESTADO],MATCH(ROW(Tabla9[ESTADO]),ROW(Tabla9[ESTADO]))," "),ROWS($A$1:A67)))," ")</f>
        <v xml:space="preserve"> </v>
      </c>
      <c r="N79" s="139"/>
      <c r="O79" s="139"/>
    </row>
    <row r="80" spans="2:15" s="51" customFormat="1" ht="15" customHeight="1" x14ac:dyDescent="0.25">
      <c r="B80" s="55"/>
      <c r="C80" s="146" t="str" cm="1">
        <f t="array" ref="C80">IFERROR(INDEX(Tabla9[TAREA],SMALL(IF("Pendiente"=Tabla9[ESTADO],MATCH(ROW(Tabla9[ESTADO]),ROW(Tabla9[ESTADO]))," "),ROWS($A$1:A68)))," ")</f>
        <v xml:space="preserve"> </v>
      </c>
      <c r="D80" s="146"/>
      <c r="E80" s="146"/>
      <c r="F80" s="146"/>
      <c r="G80" s="55"/>
      <c r="H80" s="146" t="str" cm="1">
        <f t="array" ref="H80">IFERROR(IF(_xlfn.XLOOKUP(_xlfn.XLOOKUP(G80,Tabla9[ID],Tabla9[ID_H.U]),Tabla8[ID],Tabla8[SPRINT])=$J$9,INDEX(Tabla9[TAREA],SMALL(IF("En progreso"=Tabla9[ESTADO],MATCH(ROW(Tabla9[ESTADO]),ROW(Tabla9[ESTADO]))," "),ROWS($A$1:A68)))," ")," ")</f>
        <v xml:space="preserve"> </v>
      </c>
      <c r="I80" s="146"/>
      <c r="J80" s="146"/>
      <c r="K80" s="146"/>
      <c r="L80" s="55"/>
      <c r="M80" s="139" t="str" cm="1">
        <f t="array" ref="M80">IFERROR(INDEX(Tabla9[TAREA],SMALL(IF("Finalizado"=Tabla9[ESTADO],MATCH(ROW(Tabla9[ESTADO]),ROW(Tabla9[ESTADO]))," "),ROWS($A$1:A68)))," ")</f>
        <v xml:space="preserve"> </v>
      </c>
      <c r="N80" s="139"/>
      <c r="O80" s="139"/>
    </row>
    <row r="81" spans="2:12" s="51" customFormat="1" ht="15" customHeight="1" x14ac:dyDescent="0.25">
      <c r="B81" s="55"/>
      <c r="C81" s="146" t="str" cm="1">
        <f t="array" ref="C81">IFERROR(INDEX(Tabla9[TAREA],SMALL(IF("Pendiente"=Tabla9[ESTADO],MATCH(ROW(Tabla9[ESTADO]),ROW(Tabla9[ESTADO]))," "),ROWS($A$1:A69)))," ")</f>
        <v xml:space="preserve"> </v>
      </c>
      <c r="D81" s="146"/>
      <c r="E81" s="146"/>
      <c r="F81" s="146"/>
      <c r="G81" s="55"/>
      <c r="H81" s="146" t="str" cm="1">
        <f t="array" ref="H81">IFERROR(IF(_xlfn.XLOOKUP(_xlfn.XLOOKUP(G81,Tabla9[ID],Tabla9[ID_H.U]),Tabla8[ID],Tabla8[SPRINT])=$J$9,INDEX(Tabla9[TAREA],SMALL(IF("En progreso"=Tabla9[ESTADO],MATCH(ROW(Tabla9[ESTADO]),ROW(Tabla9[ESTADO]))," "),ROWS($A$1:A69)))," ")," ")</f>
        <v xml:space="preserve"> </v>
      </c>
      <c r="I81" s="146"/>
      <c r="J81" s="146"/>
      <c r="K81" s="146"/>
      <c r="L81" s="55"/>
    </row>
    <row r="82" spans="2:12" s="51" customFormat="1" ht="15" customHeight="1" x14ac:dyDescent="0.25">
      <c r="B82" s="55"/>
      <c r="C82" s="146" t="str" cm="1">
        <f t="array" ref="C82">IFERROR(INDEX(Tabla9[TAREA],SMALL(IF("Pendiente"=Tabla9[ESTADO],MATCH(ROW(Tabla9[ESTADO]),ROW(Tabla9[ESTADO]))," "),ROWS($A$1:A70)))," ")</f>
        <v xml:space="preserve"> </v>
      </c>
      <c r="D82" s="146"/>
      <c r="E82" s="146"/>
      <c r="F82" s="146"/>
      <c r="G82" s="55"/>
      <c r="H82" s="146" t="str" cm="1">
        <f t="array" ref="H82">IFERROR(IF(_xlfn.XLOOKUP(_xlfn.XLOOKUP(G82,Tabla9[ID],Tabla9[ID_H.U]),Tabla8[ID],Tabla8[SPRINT])=$J$9,INDEX(Tabla9[TAREA],SMALL(IF("En progreso"=Tabla9[ESTADO],MATCH(ROW(Tabla9[ESTADO]),ROW(Tabla9[ESTADO]))," "),ROWS($A$1:A70)))," ")," ")</f>
        <v xml:space="preserve"> </v>
      </c>
      <c r="I82" s="146"/>
      <c r="J82" s="146"/>
      <c r="K82" s="146"/>
      <c r="L82" s="55"/>
    </row>
    <row r="83" spans="2:12" s="51" customFormat="1" ht="15" customHeight="1" x14ac:dyDescent="0.25">
      <c r="B83" s="55"/>
      <c r="C83" s="146" t="str" cm="1">
        <f t="array" ref="C83">IFERROR(INDEX(Tabla9[TAREA],SMALL(IF("Pendiente"=Tabla9[ESTADO],MATCH(ROW(Tabla9[ESTADO]),ROW(Tabla9[ESTADO]))," "),ROWS($A$1:A71)))," ")</f>
        <v xml:space="preserve"> </v>
      </c>
      <c r="D83" s="146"/>
      <c r="E83" s="146"/>
      <c r="F83" s="146"/>
      <c r="G83" s="55"/>
      <c r="H83" s="146" t="str" cm="1">
        <f t="array" ref="H83">IFERROR(IF(_xlfn.XLOOKUP(_xlfn.XLOOKUP(G83,Tabla9[ID],Tabla9[ID_H.U]),Tabla8[ID],Tabla8[SPRINT])=$J$9,INDEX(Tabla9[TAREA],SMALL(IF("En progreso"=Tabla9[ESTADO],MATCH(ROW(Tabla9[ESTADO]),ROW(Tabla9[ESTADO]))," "),ROWS($A$1:A71)))," ")," ")</f>
        <v xml:space="preserve"> </v>
      </c>
      <c r="I83" s="146"/>
      <c r="J83" s="146"/>
      <c r="K83" s="146"/>
      <c r="L83" s="55"/>
    </row>
    <row r="84" spans="2:12" s="51" customFormat="1" ht="15" customHeight="1" x14ac:dyDescent="0.25">
      <c r="B84" s="55"/>
      <c r="C84" s="146" t="str" cm="1">
        <f t="array" ref="C84">IFERROR(INDEX(Tabla9[TAREA],SMALL(IF("Pendiente"=Tabla9[ESTADO],MATCH(ROW(Tabla9[ESTADO]),ROW(Tabla9[ESTADO]))," "),ROWS($A$1:A72)))," ")</f>
        <v xml:space="preserve"> </v>
      </c>
      <c r="D84" s="146"/>
      <c r="E84" s="146"/>
      <c r="F84" s="146"/>
      <c r="G84" s="55"/>
      <c r="H84" s="146" t="str" cm="1">
        <f t="array" ref="H84">IFERROR(IF(_xlfn.XLOOKUP(_xlfn.XLOOKUP(G84,Tabla9[ID],Tabla9[ID_H.U]),Tabla8[ID],Tabla8[SPRINT])=$J$9,INDEX(Tabla9[TAREA],SMALL(IF("En progreso"=Tabla9[ESTADO],MATCH(ROW(Tabla9[ESTADO]),ROW(Tabla9[ESTADO]))," "),ROWS($A$1:A72)))," ")," ")</f>
        <v xml:space="preserve"> </v>
      </c>
      <c r="I84" s="146"/>
      <c r="J84" s="146"/>
      <c r="K84" s="146"/>
      <c r="L84" s="55"/>
    </row>
    <row r="85" spans="2:12" s="51" customFormat="1" ht="15" customHeight="1" x14ac:dyDescent="0.25">
      <c r="B85" s="55"/>
      <c r="C85" s="146" t="str" cm="1">
        <f t="array" ref="C85">IFERROR(INDEX(Tabla9[TAREA],SMALL(IF("Pendiente"=Tabla9[ESTADO],MATCH(ROW(Tabla9[ESTADO]),ROW(Tabla9[ESTADO]))," "),ROWS($A$1:A73)))," ")</f>
        <v xml:space="preserve"> </v>
      </c>
      <c r="D85" s="146"/>
      <c r="E85" s="146"/>
      <c r="F85" s="146"/>
      <c r="G85" s="55"/>
      <c r="L85" s="55"/>
    </row>
    <row r="86" spans="2:12" s="51" customFormat="1" ht="15" customHeight="1" x14ac:dyDescent="0.25">
      <c r="B86" s="55"/>
      <c r="C86" s="146" t="str" cm="1">
        <f t="array" ref="C86">IFERROR(INDEX(Tabla9[TAREA],SMALL(IF("Pendiente"=Tabla9[ESTADO],MATCH(ROW(Tabla9[ESTADO]),ROW(Tabla9[ESTADO]))," "),ROWS($A$1:A74)))," ")</f>
        <v xml:space="preserve"> </v>
      </c>
      <c r="D86" s="146"/>
      <c r="E86" s="146"/>
      <c r="F86" s="146"/>
      <c r="G86" s="55"/>
      <c r="L86" s="55"/>
    </row>
    <row r="87" spans="2:12" s="51" customFormat="1" ht="15" customHeight="1" x14ac:dyDescent="0.25">
      <c r="B87" s="55"/>
      <c r="C87" s="146" t="str" cm="1">
        <f t="array" ref="C87">IFERROR(INDEX(Tabla9[TAREA],SMALL(IF("Pendiente"=Tabla9[ESTADO],MATCH(ROW(Tabla9[ESTADO]),ROW(Tabla9[ESTADO]))," "),ROWS($A$1:A75)))," ")</f>
        <v xml:space="preserve"> </v>
      </c>
      <c r="D87" s="146"/>
      <c r="E87" s="146"/>
      <c r="F87" s="146"/>
      <c r="G87" s="55"/>
      <c r="L87" s="55"/>
    </row>
    <row r="88" spans="2:12" s="51" customFormat="1" ht="15" customHeight="1" x14ac:dyDescent="0.25">
      <c r="B88" s="55"/>
      <c r="C88" s="146" t="str" cm="1">
        <f t="array" ref="C88">IFERROR(INDEX(Tabla9[TAREA],SMALL(IF("Pendiente"=Tabla9[ESTADO],MATCH(ROW(Tabla9[ESTADO]),ROW(Tabla9[ESTADO]))," "),ROWS($A$1:A76)))," ")</f>
        <v xml:space="preserve"> </v>
      </c>
      <c r="D88" s="146"/>
      <c r="E88" s="146"/>
      <c r="F88" s="146"/>
      <c r="G88" s="55"/>
      <c r="L88" s="55"/>
    </row>
    <row r="89" spans="2:12" s="51" customFormat="1" ht="15" customHeight="1" x14ac:dyDescent="0.25">
      <c r="B89" s="55"/>
      <c r="C89" s="146" t="str" cm="1">
        <f t="array" ref="C89">IFERROR(INDEX(Tabla9[TAREA],SMALL(IF("Pendiente"=Tabla9[ESTADO],MATCH(ROW(Tabla9[ESTADO]),ROW(Tabla9[ESTADO]))," "),ROWS($A$1:A77)))," ")</f>
        <v xml:space="preserve"> </v>
      </c>
      <c r="D89" s="146"/>
      <c r="E89" s="146"/>
      <c r="F89" s="146"/>
      <c r="G89" s="55"/>
      <c r="L89" s="55"/>
    </row>
    <row r="90" spans="2:12" s="51" customFormat="1" ht="15" customHeight="1" x14ac:dyDescent="0.25">
      <c r="B90" s="55"/>
      <c r="C90" s="146" t="str" cm="1">
        <f t="array" ref="C90">IFERROR(INDEX(Tabla9[TAREA],SMALL(IF("Pendiente"=Tabla9[ESTADO],MATCH(ROW(Tabla9[ESTADO]),ROW(Tabla9[ESTADO]))," "),ROWS($A$1:A78)))," ")</f>
        <v xml:space="preserve"> </v>
      </c>
      <c r="D90" s="146"/>
      <c r="E90" s="146"/>
      <c r="F90" s="146"/>
      <c r="G90" s="55"/>
      <c r="L90" s="55"/>
    </row>
    <row r="91" spans="2:12" s="51" customFormat="1" ht="15" customHeight="1" x14ac:dyDescent="0.25">
      <c r="B91" s="55"/>
      <c r="C91" s="146"/>
      <c r="D91" s="146"/>
      <c r="E91" s="146"/>
      <c r="F91" s="146"/>
      <c r="G91" s="55"/>
      <c r="L91" s="55"/>
    </row>
    <row r="92" spans="2:12" s="51" customFormat="1" ht="15" customHeight="1" x14ac:dyDescent="0.25">
      <c r="B92" s="55"/>
      <c r="C92" s="146"/>
      <c r="D92" s="146"/>
      <c r="E92" s="146"/>
      <c r="F92" s="146"/>
      <c r="G92" s="55"/>
      <c r="L92" s="55"/>
    </row>
    <row r="93" spans="2:12" s="51" customFormat="1" ht="15" customHeight="1" x14ac:dyDescent="0.25">
      <c r="B93" s="55"/>
      <c r="C93" s="146"/>
      <c r="D93" s="146"/>
      <c r="E93" s="146"/>
      <c r="F93" s="146"/>
      <c r="G93" s="55"/>
      <c r="L93" s="55"/>
    </row>
    <row r="94" spans="2:12" s="51" customFormat="1" ht="15" customHeight="1" x14ac:dyDescent="0.25">
      <c r="B94" s="55"/>
      <c r="C94" s="146"/>
      <c r="D94" s="146"/>
      <c r="E94" s="146"/>
      <c r="F94" s="146"/>
      <c r="G94" s="55"/>
      <c r="L94" s="55"/>
    </row>
    <row r="95" spans="2:12" s="51" customFormat="1" ht="15" customHeight="1" x14ac:dyDescent="0.25">
      <c r="B95" s="55"/>
      <c r="C95" s="146"/>
      <c r="D95" s="146"/>
      <c r="E95" s="146"/>
      <c r="F95" s="146"/>
      <c r="G95" s="55"/>
      <c r="L95" s="55"/>
    </row>
    <row r="96" spans="2:12" s="51" customFormat="1" ht="15" customHeight="1" x14ac:dyDescent="0.25">
      <c r="B96" s="55"/>
      <c r="C96" s="146"/>
      <c r="D96" s="146"/>
      <c r="E96" s="146"/>
      <c r="F96" s="146"/>
      <c r="G96" s="55"/>
      <c r="L96" s="55"/>
    </row>
    <row r="97" spans="2:12" s="51" customFormat="1" ht="15" customHeight="1" x14ac:dyDescent="0.25">
      <c r="B97" s="55"/>
      <c r="C97" s="146"/>
      <c r="D97" s="146"/>
      <c r="E97" s="146"/>
      <c r="F97" s="146"/>
      <c r="G97" s="55"/>
      <c r="L97" s="55"/>
    </row>
    <row r="98" spans="2:12" s="51" customFormat="1" ht="15" customHeight="1" x14ac:dyDescent="0.25">
      <c r="B98" s="55"/>
      <c r="C98" s="146"/>
      <c r="D98" s="146"/>
      <c r="E98" s="146"/>
      <c r="F98" s="146"/>
      <c r="G98" s="55"/>
      <c r="L98" s="55"/>
    </row>
    <row r="99" spans="2:12" s="51" customFormat="1" ht="15" customHeight="1" x14ac:dyDescent="0.25">
      <c r="B99" s="55"/>
      <c r="C99" s="146"/>
      <c r="D99" s="146"/>
      <c r="E99" s="146"/>
      <c r="F99" s="146"/>
      <c r="G99" s="55"/>
      <c r="L99" s="55"/>
    </row>
    <row r="100" spans="2:12" s="51" customFormat="1" ht="15" customHeight="1" x14ac:dyDescent="0.25">
      <c r="B100" s="55"/>
      <c r="C100" s="146"/>
      <c r="D100" s="146"/>
      <c r="E100" s="146"/>
      <c r="F100" s="146"/>
      <c r="G100" s="55"/>
      <c r="L100" s="55"/>
    </row>
    <row r="101" spans="2:12" s="51" customFormat="1" ht="15" customHeight="1" x14ac:dyDescent="0.25">
      <c r="B101" s="55"/>
      <c r="C101" s="146"/>
      <c r="D101" s="146"/>
      <c r="E101" s="146"/>
      <c r="F101" s="146"/>
      <c r="G101" s="55"/>
      <c r="L101" s="55"/>
    </row>
    <row r="102" spans="2:12" s="51" customFormat="1" ht="15" customHeight="1" x14ac:dyDescent="0.25">
      <c r="B102" s="55"/>
      <c r="C102" s="146"/>
      <c r="D102" s="146"/>
      <c r="E102" s="146"/>
      <c r="F102" s="146"/>
      <c r="G102" s="55"/>
      <c r="L102" s="55"/>
    </row>
    <row r="103" spans="2:12" s="51" customFormat="1" ht="15" customHeight="1" x14ac:dyDescent="0.25">
      <c r="B103" s="55"/>
      <c r="C103" s="146"/>
      <c r="D103" s="146"/>
      <c r="E103" s="146"/>
      <c r="F103" s="146"/>
      <c r="G103" s="55"/>
      <c r="L103" s="55"/>
    </row>
    <row r="104" spans="2:12" s="51" customFormat="1" ht="15" customHeight="1" x14ac:dyDescent="0.25">
      <c r="B104" s="55"/>
      <c r="C104" s="146"/>
      <c r="D104" s="146"/>
      <c r="E104" s="146"/>
      <c r="F104" s="146"/>
      <c r="G104" s="55"/>
      <c r="L104" s="55"/>
    </row>
    <row r="105" spans="2:12" s="51" customFormat="1" ht="15" customHeight="1" x14ac:dyDescent="0.25">
      <c r="B105" s="55"/>
      <c r="C105" s="146"/>
      <c r="D105" s="146"/>
      <c r="E105" s="146"/>
      <c r="F105" s="146"/>
      <c r="G105" s="55"/>
      <c r="L105" s="55"/>
    </row>
    <row r="106" spans="2:12" s="51" customFormat="1" ht="15" customHeight="1" x14ac:dyDescent="0.25">
      <c r="B106" s="55"/>
      <c r="C106" s="146"/>
      <c r="D106" s="146"/>
      <c r="E106" s="146"/>
      <c r="F106" s="146"/>
      <c r="G106" s="55"/>
      <c r="L106" s="55"/>
    </row>
    <row r="107" spans="2:12" s="51" customFormat="1" ht="15" customHeight="1" x14ac:dyDescent="0.25">
      <c r="B107" s="55"/>
      <c r="C107" s="146"/>
      <c r="D107" s="146"/>
      <c r="E107" s="146"/>
      <c r="F107" s="146"/>
      <c r="G107" s="55"/>
      <c r="L107" s="55"/>
    </row>
    <row r="108" spans="2:12" s="51" customFormat="1" ht="15" customHeight="1" x14ac:dyDescent="0.25">
      <c r="B108" s="55"/>
      <c r="C108" s="146"/>
      <c r="D108" s="146"/>
      <c r="E108" s="146"/>
      <c r="F108" s="146"/>
      <c r="G108" s="55"/>
      <c r="L108" s="55"/>
    </row>
    <row r="109" spans="2:12" s="51" customFormat="1" ht="15" customHeight="1" x14ac:dyDescent="0.25">
      <c r="B109" s="55"/>
      <c r="C109" s="146"/>
      <c r="D109" s="146"/>
      <c r="E109" s="146"/>
      <c r="F109" s="146"/>
      <c r="G109" s="55"/>
      <c r="L109" s="55"/>
    </row>
    <row r="110" spans="2:12" s="51" customFormat="1" ht="15" customHeight="1" x14ac:dyDescent="0.25">
      <c r="B110" s="55"/>
      <c r="C110" s="146"/>
      <c r="D110" s="146"/>
      <c r="E110" s="146"/>
      <c r="F110" s="146"/>
      <c r="G110" s="55"/>
      <c r="L110" s="55"/>
    </row>
    <row r="111" spans="2:12" s="51" customFormat="1" ht="15" customHeight="1" x14ac:dyDescent="0.25">
      <c r="B111" s="55"/>
      <c r="C111" s="146"/>
      <c r="D111" s="146"/>
      <c r="E111" s="146"/>
      <c r="F111" s="146"/>
      <c r="G111" s="55"/>
      <c r="L111" s="55"/>
    </row>
    <row r="112" spans="2:12" s="51" customFormat="1" ht="15" customHeight="1" x14ac:dyDescent="0.25">
      <c r="B112" s="55"/>
      <c r="C112" s="146"/>
      <c r="D112" s="146"/>
      <c r="E112" s="146"/>
      <c r="F112" s="146"/>
      <c r="G112" s="55"/>
      <c r="L112" s="55"/>
    </row>
    <row r="113" spans="2:12" s="51" customFormat="1" ht="15" customHeight="1" x14ac:dyDescent="0.25">
      <c r="B113" s="55"/>
      <c r="C113" s="146"/>
      <c r="D113" s="146"/>
      <c r="E113" s="146"/>
      <c r="F113" s="146"/>
      <c r="G113" s="55"/>
      <c r="L113" s="55"/>
    </row>
    <row r="114" spans="2:12" s="51" customFormat="1" ht="15" customHeight="1" x14ac:dyDescent="0.25">
      <c r="B114" s="55"/>
      <c r="C114" s="146"/>
      <c r="D114" s="146"/>
      <c r="E114" s="146"/>
      <c r="F114" s="146"/>
      <c r="G114" s="55"/>
      <c r="L114" s="55"/>
    </row>
    <row r="115" spans="2:12" s="51" customFormat="1" ht="15" customHeight="1" x14ac:dyDescent="0.25">
      <c r="B115" s="55"/>
      <c r="C115" s="146"/>
      <c r="D115" s="146"/>
      <c r="E115" s="146"/>
      <c r="F115" s="146"/>
      <c r="G115" s="55"/>
      <c r="L115" s="55"/>
    </row>
    <row r="116" spans="2:12" s="51" customFormat="1" ht="15" customHeight="1" x14ac:dyDescent="0.25">
      <c r="B116" s="55"/>
      <c r="C116" s="146"/>
      <c r="D116" s="146"/>
      <c r="E116" s="146"/>
      <c r="F116" s="146"/>
      <c r="G116" s="55"/>
      <c r="L116" s="55"/>
    </row>
    <row r="117" spans="2:12" s="51" customFormat="1" ht="15" customHeight="1" x14ac:dyDescent="0.25">
      <c r="B117" s="55"/>
      <c r="C117" s="146"/>
      <c r="D117" s="146"/>
      <c r="E117" s="146"/>
      <c r="F117" s="146"/>
      <c r="G117" s="55"/>
      <c r="L117" s="55"/>
    </row>
    <row r="118" spans="2:12" s="51" customFormat="1" ht="15" customHeight="1" x14ac:dyDescent="0.25">
      <c r="B118" s="55"/>
      <c r="C118" s="146"/>
      <c r="D118" s="146"/>
      <c r="E118" s="146"/>
      <c r="F118" s="146"/>
      <c r="G118" s="55"/>
      <c r="L118" s="55"/>
    </row>
    <row r="119" spans="2:12" s="51" customFormat="1" ht="15" customHeight="1" x14ac:dyDescent="0.25">
      <c r="B119" s="55"/>
      <c r="C119" s="146"/>
      <c r="D119" s="146"/>
      <c r="E119" s="146"/>
      <c r="F119" s="146"/>
      <c r="G119" s="55"/>
      <c r="L119" s="55"/>
    </row>
    <row r="120" spans="2:12" s="51" customFormat="1" ht="15" customHeight="1" x14ac:dyDescent="0.25">
      <c r="B120" s="55"/>
      <c r="C120" s="146"/>
      <c r="D120" s="146"/>
      <c r="E120" s="146"/>
      <c r="F120" s="146"/>
      <c r="G120" s="55"/>
      <c r="L120" s="55"/>
    </row>
    <row r="121" spans="2:12" s="51" customFormat="1" ht="15" customHeight="1" x14ac:dyDescent="0.25">
      <c r="B121" s="55"/>
      <c r="C121" s="146"/>
      <c r="D121" s="146"/>
      <c r="E121" s="146"/>
      <c r="F121" s="146"/>
      <c r="G121" s="55"/>
      <c r="L121" s="55"/>
    </row>
    <row r="122" spans="2:12" s="51" customFormat="1" ht="15" customHeight="1" x14ac:dyDescent="0.25">
      <c r="B122" s="55"/>
      <c r="C122" s="146"/>
      <c r="D122" s="146"/>
      <c r="E122" s="146"/>
      <c r="F122" s="146"/>
      <c r="G122" s="55"/>
      <c r="L122" s="55"/>
    </row>
    <row r="123" spans="2:12" s="51" customFormat="1" ht="15" customHeight="1" x14ac:dyDescent="0.25">
      <c r="B123" s="55"/>
      <c r="C123" s="146"/>
      <c r="D123" s="146"/>
      <c r="E123" s="146"/>
      <c r="F123" s="146"/>
      <c r="G123" s="55"/>
      <c r="L123" s="55"/>
    </row>
    <row r="124" spans="2:12" s="51" customFormat="1" ht="15" customHeight="1" x14ac:dyDescent="0.25">
      <c r="B124" s="55"/>
      <c r="C124" s="146"/>
      <c r="D124" s="146"/>
      <c r="E124" s="146"/>
      <c r="F124" s="146"/>
      <c r="G124" s="55"/>
      <c r="L124" s="55"/>
    </row>
    <row r="125" spans="2:12" s="51" customFormat="1" ht="15" customHeight="1" x14ac:dyDescent="0.25">
      <c r="B125" s="55"/>
      <c r="C125" s="146"/>
      <c r="D125" s="146"/>
      <c r="E125" s="146"/>
      <c r="F125" s="146"/>
      <c r="G125" s="55"/>
      <c r="L125" s="55"/>
    </row>
    <row r="126" spans="2:12" s="51" customFormat="1" ht="15" customHeight="1" x14ac:dyDescent="0.25">
      <c r="B126" s="55"/>
      <c r="C126" s="146"/>
      <c r="D126" s="146"/>
      <c r="E126" s="146"/>
      <c r="F126" s="146"/>
      <c r="G126" s="55"/>
      <c r="L126" s="55"/>
    </row>
    <row r="127" spans="2:12" s="51" customFormat="1" ht="15" customHeight="1" x14ac:dyDescent="0.25">
      <c r="B127" s="55"/>
      <c r="C127" s="146"/>
      <c r="D127" s="146"/>
      <c r="E127" s="146"/>
      <c r="F127" s="146"/>
      <c r="G127" s="55"/>
      <c r="L127" s="55"/>
    </row>
    <row r="128" spans="2:12" s="51" customFormat="1" ht="15" customHeight="1" x14ac:dyDescent="0.25">
      <c r="B128" s="55"/>
      <c r="C128" s="146"/>
      <c r="D128" s="146"/>
      <c r="E128" s="146"/>
      <c r="F128" s="146"/>
      <c r="G128" s="55"/>
      <c r="L128" s="55"/>
    </row>
    <row r="129" spans="2:12" s="51" customFormat="1" ht="15" customHeight="1" x14ac:dyDescent="0.25">
      <c r="B129" s="55"/>
      <c r="C129" s="146"/>
      <c r="D129" s="146"/>
      <c r="E129" s="146"/>
      <c r="F129" s="146"/>
      <c r="G129" s="55"/>
      <c r="L129" s="55"/>
    </row>
    <row r="130" spans="2:12" s="51" customFormat="1" ht="15" customHeight="1" x14ac:dyDescent="0.25">
      <c r="B130" s="55"/>
      <c r="C130" s="146"/>
      <c r="D130" s="146"/>
      <c r="E130" s="146"/>
      <c r="F130" s="146"/>
      <c r="G130" s="55"/>
      <c r="L130" s="55"/>
    </row>
    <row r="131" spans="2:12" s="51" customFormat="1" ht="15" customHeight="1" x14ac:dyDescent="0.25">
      <c r="B131" s="55"/>
      <c r="C131" s="146"/>
      <c r="D131" s="146"/>
      <c r="E131" s="146"/>
      <c r="F131" s="146"/>
      <c r="G131" s="55"/>
      <c r="L131" s="55"/>
    </row>
    <row r="132" spans="2:12" s="51" customFormat="1" ht="15" customHeight="1" x14ac:dyDescent="0.25">
      <c r="B132" s="55"/>
      <c r="C132" s="146"/>
      <c r="D132" s="146"/>
      <c r="E132" s="146"/>
      <c r="F132" s="146"/>
      <c r="G132" s="55"/>
      <c r="L132" s="55"/>
    </row>
    <row r="133" spans="2:12" s="51" customFormat="1" ht="15" customHeight="1" x14ac:dyDescent="0.25">
      <c r="B133" s="55"/>
      <c r="C133" s="146"/>
      <c r="D133" s="146"/>
      <c r="E133" s="146"/>
      <c r="F133" s="146"/>
      <c r="G133" s="55"/>
      <c r="L133" s="55"/>
    </row>
    <row r="134" spans="2:12" s="51" customFormat="1" ht="15" customHeight="1" x14ac:dyDescent="0.25">
      <c r="B134" s="55"/>
      <c r="C134" s="146"/>
      <c r="D134" s="146"/>
      <c r="E134" s="146"/>
      <c r="F134" s="146"/>
      <c r="G134" s="55"/>
      <c r="L134" s="55"/>
    </row>
    <row r="135" spans="2:12" s="51" customFormat="1" ht="15" customHeight="1" x14ac:dyDescent="0.25">
      <c r="B135" s="55"/>
      <c r="C135" s="146"/>
      <c r="D135" s="146"/>
      <c r="E135" s="146"/>
      <c r="F135" s="146"/>
      <c r="G135" s="55"/>
      <c r="L135" s="55"/>
    </row>
    <row r="136" spans="2:12" s="51" customFormat="1" ht="15" customHeight="1" x14ac:dyDescent="0.25">
      <c r="B136" s="55"/>
      <c r="C136" s="146"/>
      <c r="D136" s="146"/>
      <c r="E136" s="146"/>
      <c r="F136" s="146"/>
      <c r="G136" s="55"/>
      <c r="L136" s="55"/>
    </row>
    <row r="137" spans="2:12" s="51" customFormat="1" ht="15" customHeight="1" x14ac:dyDescent="0.25">
      <c r="B137" s="55"/>
      <c r="C137" s="146"/>
      <c r="D137" s="146"/>
      <c r="E137" s="146"/>
      <c r="F137" s="146"/>
      <c r="G137" s="55"/>
      <c r="L137" s="55"/>
    </row>
    <row r="138" spans="2:12" s="51" customFormat="1" ht="15" customHeight="1" x14ac:dyDescent="0.25">
      <c r="B138" s="55"/>
      <c r="C138" s="146"/>
      <c r="D138" s="146"/>
      <c r="E138" s="146"/>
      <c r="F138" s="146"/>
      <c r="G138" s="55"/>
      <c r="L138" s="55"/>
    </row>
    <row r="139" spans="2:12" s="51" customFormat="1" ht="15" customHeight="1" x14ac:dyDescent="0.25">
      <c r="B139" s="55"/>
      <c r="C139" s="146"/>
      <c r="D139" s="146"/>
      <c r="E139" s="146"/>
      <c r="F139" s="146"/>
      <c r="G139" s="55"/>
      <c r="L139" s="55"/>
    </row>
    <row r="140" spans="2:12" s="51" customFormat="1" ht="15" customHeight="1" x14ac:dyDescent="0.25">
      <c r="B140" s="55"/>
      <c r="C140" s="146"/>
      <c r="D140" s="146"/>
      <c r="E140" s="146"/>
      <c r="F140" s="146"/>
      <c r="G140" s="55"/>
      <c r="L140" s="55"/>
    </row>
    <row r="141" spans="2:12" s="51" customFormat="1" ht="15" customHeight="1" x14ac:dyDescent="0.25">
      <c r="B141" s="55"/>
      <c r="C141" s="146"/>
      <c r="D141" s="146"/>
      <c r="E141" s="146"/>
      <c r="F141" s="146"/>
      <c r="G141" s="55"/>
      <c r="L141" s="55"/>
    </row>
    <row r="142" spans="2:12" s="51" customFormat="1" ht="15" customHeight="1" x14ac:dyDescent="0.25">
      <c r="B142" s="55"/>
      <c r="C142" s="146"/>
      <c r="D142" s="146"/>
      <c r="E142" s="146"/>
      <c r="F142" s="146"/>
      <c r="G142" s="55"/>
      <c r="L142" s="55"/>
    </row>
    <row r="143" spans="2:12" s="51" customFormat="1" ht="15" customHeight="1" x14ac:dyDescent="0.25">
      <c r="B143" s="55"/>
      <c r="C143" s="146"/>
      <c r="D143" s="146"/>
      <c r="E143" s="146"/>
      <c r="F143" s="146"/>
      <c r="G143" s="55"/>
      <c r="L143" s="55"/>
    </row>
    <row r="144" spans="2:12" s="51" customFormat="1" ht="15" customHeight="1" x14ac:dyDescent="0.25">
      <c r="B144" s="55"/>
      <c r="C144" s="146"/>
      <c r="D144" s="146"/>
      <c r="E144" s="146"/>
      <c r="F144" s="146"/>
      <c r="G144" s="55"/>
      <c r="L144" s="55"/>
    </row>
    <row r="145" spans="2:12" s="51" customFormat="1" ht="15" customHeight="1" x14ac:dyDescent="0.25">
      <c r="B145" s="55"/>
      <c r="C145" s="146"/>
      <c r="D145" s="146"/>
      <c r="E145" s="146"/>
      <c r="F145" s="146"/>
      <c r="G145" s="55"/>
      <c r="L145" s="55"/>
    </row>
    <row r="146" spans="2:12" s="51" customFormat="1" ht="15" customHeight="1" x14ac:dyDescent="0.25">
      <c r="B146" s="55"/>
      <c r="C146" s="146"/>
      <c r="D146" s="146"/>
      <c r="E146" s="146"/>
      <c r="F146" s="146"/>
      <c r="G146" s="55"/>
      <c r="L146" s="55"/>
    </row>
    <row r="147" spans="2:12" s="51" customFormat="1" ht="15" customHeight="1" x14ac:dyDescent="0.25">
      <c r="B147" s="55"/>
      <c r="C147" s="146"/>
      <c r="D147" s="146"/>
      <c r="E147" s="146"/>
      <c r="F147" s="146"/>
      <c r="G147" s="55"/>
      <c r="L147" s="55"/>
    </row>
    <row r="148" spans="2:12" s="51" customFormat="1" ht="15" customHeight="1" x14ac:dyDescent="0.25">
      <c r="B148" s="55"/>
      <c r="C148" s="146"/>
      <c r="D148" s="146"/>
      <c r="E148" s="146"/>
      <c r="F148" s="146"/>
      <c r="G148" s="55"/>
      <c r="L148" s="55"/>
    </row>
    <row r="149" spans="2:12" s="51" customFormat="1" ht="15" customHeight="1" x14ac:dyDescent="0.25">
      <c r="B149" s="55"/>
      <c r="C149" s="146"/>
      <c r="D149" s="146"/>
      <c r="E149" s="146"/>
      <c r="F149" s="146"/>
      <c r="G149" s="55"/>
      <c r="L149" s="55"/>
    </row>
    <row r="150" spans="2:12" s="51" customFormat="1" ht="15" customHeight="1" x14ac:dyDescent="0.25">
      <c r="B150" s="55"/>
      <c r="C150" s="146"/>
      <c r="D150" s="146"/>
      <c r="E150" s="146"/>
      <c r="F150" s="146"/>
      <c r="G150" s="55"/>
      <c r="L150" s="55"/>
    </row>
    <row r="151" spans="2:12" s="51" customFormat="1" ht="15" customHeight="1" x14ac:dyDescent="0.25">
      <c r="B151" s="55"/>
      <c r="C151" s="146"/>
      <c r="D151" s="146"/>
      <c r="E151" s="146"/>
      <c r="F151" s="146"/>
      <c r="G151" s="55"/>
      <c r="L151" s="55"/>
    </row>
    <row r="152" spans="2:12" s="51" customFormat="1" ht="15" customHeight="1" x14ac:dyDescent="0.25">
      <c r="B152" s="55"/>
      <c r="C152" s="146"/>
      <c r="D152" s="146"/>
      <c r="E152" s="146"/>
      <c r="F152" s="146"/>
      <c r="G152" s="55"/>
      <c r="L152" s="55"/>
    </row>
    <row r="153" spans="2:12" s="51" customFormat="1" ht="15" customHeight="1" x14ac:dyDescent="0.25">
      <c r="B153" s="55"/>
      <c r="C153" s="146"/>
      <c r="D153" s="146"/>
      <c r="E153" s="146"/>
      <c r="F153" s="146"/>
      <c r="G153" s="55"/>
      <c r="L153" s="55"/>
    </row>
    <row r="154" spans="2:12" s="51" customFormat="1" ht="15" customHeight="1" x14ac:dyDescent="0.25">
      <c r="B154" s="55"/>
      <c r="C154" s="146"/>
      <c r="D154" s="146"/>
      <c r="E154" s="146"/>
      <c r="F154" s="146"/>
      <c r="G154" s="55"/>
      <c r="L154" s="55"/>
    </row>
    <row r="155" spans="2:12" s="51" customFormat="1" ht="15" customHeight="1" x14ac:dyDescent="0.25">
      <c r="B155" s="55"/>
      <c r="C155" s="146"/>
      <c r="D155" s="146"/>
      <c r="E155" s="146"/>
      <c r="F155" s="146"/>
      <c r="G155" s="55"/>
      <c r="L155" s="55"/>
    </row>
    <row r="156" spans="2:12" s="51" customFormat="1" ht="15" customHeight="1" x14ac:dyDescent="0.25">
      <c r="B156" s="55"/>
      <c r="C156" s="146"/>
      <c r="D156" s="146"/>
      <c r="E156" s="146"/>
      <c r="F156" s="146"/>
      <c r="G156" s="55"/>
      <c r="L156" s="55"/>
    </row>
    <row r="157" spans="2:12" s="51" customFormat="1" ht="15" customHeight="1" x14ac:dyDescent="0.25">
      <c r="B157" s="55"/>
      <c r="C157" s="146"/>
      <c r="D157" s="146"/>
      <c r="E157" s="146"/>
      <c r="F157" s="146"/>
      <c r="G157" s="55"/>
      <c r="L157" s="55"/>
    </row>
    <row r="158" spans="2:12" s="51" customFormat="1" ht="15" customHeight="1" x14ac:dyDescent="0.25">
      <c r="B158" s="55"/>
      <c r="C158" s="146"/>
      <c r="D158" s="146"/>
      <c r="E158" s="146"/>
      <c r="F158" s="146"/>
      <c r="G158" s="55"/>
      <c r="L158" s="55"/>
    </row>
    <row r="159" spans="2:12" s="51" customFormat="1" ht="15" customHeight="1" x14ac:dyDescent="0.25">
      <c r="B159" s="55"/>
      <c r="C159" s="146"/>
      <c r="D159" s="146"/>
      <c r="E159" s="146"/>
      <c r="F159" s="146"/>
      <c r="G159" s="55"/>
      <c r="L159" s="55"/>
    </row>
    <row r="160" spans="2:12" s="51" customFormat="1" ht="15" customHeight="1" x14ac:dyDescent="0.25">
      <c r="B160" s="55"/>
      <c r="C160" s="146"/>
      <c r="D160" s="146"/>
      <c r="E160" s="146"/>
      <c r="F160" s="146"/>
      <c r="G160" s="55"/>
      <c r="L160" s="55"/>
    </row>
    <row r="161" spans="2:12" s="51" customFormat="1" ht="15" customHeight="1" x14ac:dyDescent="0.25">
      <c r="B161" s="55"/>
      <c r="C161" s="146"/>
      <c r="D161" s="146"/>
      <c r="E161" s="146"/>
      <c r="F161" s="146"/>
      <c r="G161" s="55"/>
      <c r="L161" s="55"/>
    </row>
    <row r="162" spans="2:12" s="51" customFormat="1" ht="15" customHeight="1" x14ac:dyDescent="0.25">
      <c r="B162" s="55"/>
      <c r="C162" s="146"/>
      <c r="D162" s="146"/>
      <c r="E162" s="146"/>
      <c r="F162" s="146"/>
      <c r="G162" s="55"/>
      <c r="L162" s="55"/>
    </row>
    <row r="163" spans="2:12" s="51" customFormat="1" ht="15" customHeight="1" x14ac:dyDescent="0.25">
      <c r="B163" s="55"/>
      <c r="C163" s="146"/>
      <c r="D163" s="146"/>
      <c r="E163" s="146"/>
      <c r="F163" s="146"/>
      <c r="G163" s="55"/>
      <c r="L163" s="55"/>
    </row>
    <row r="164" spans="2:12" s="51" customFormat="1" ht="15" customHeight="1" x14ac:dyDescent="0.25">
      <c r="B164" s="55"/>
      <c r="C164" s="146"/>
      <c r="D164" s="146"/>
      <c r="E164" s="146"/>
      <c r="F164" s="146"/>
      <c r="G164" s="55"/>
      <c r="L164" s="55"/>
    </row>
    <row r="165" spans="2:12" s="51" customFormat="1" ht="15" customHeight="1" x14ac:dyDescent="0.25">
      <c r="B165" s="55"/>
      <c r="C165" s="146"/>
      <c r="D165" s="146"/>
      <c r="E165" s="146"/>
      <c r="F165" s="146"/>
      <c r="G165" s="55"/>
      <c r="L165" s="55"/>
    </row>
    <row r="166" spans="2:12" s="51" customFormat="1" ht="15" customHeight="1" x14ac:dyDescent="0.25">
      <c r="B166" s="55"/>
      <c r="C166" s="146"/>
      <c r="D166" s="146"/>
      <c r="E166" s="146"/>
      <c r="F166" s="146"/>
      <c r="G166" s="55"/>
      <c r="L166" s="55"/>
    </row>
    <row r="167" spans="2:12" s="51" customFormat="1" ht="15" customHeight="1" x14ac:dyDescent="0.25">
      <c r="B167" s="55"/>
      <c r="C167" s="146"/>
      <c r="D167" s="146"/>
      <c r="E167" s="146"/>
      <c r="F167" s="146"/>
      <c r="G167" s="55"/>
      <c r="L167" s="55"/>
    </row>
    <row r="168" spans="2:12" s="51" customFormat="1" ht="15" customHeight="1" x14ac:dyDescent="0.25">
      <c r="B168" s="55"/>
      <c r="G168" s="55"/>
      <c r="L168" s="55"/>
    </row>
    <row r="169" spans="2:12" s="51" customFormat="1" ht="15" customHeight="1" x14ac:dyDescent="0.25">
      <c r="B169" s="55"/>
      <c r="G169" s="55"/>
      <c r="L169" s="55"/>
    </row>
    <row r="170" spans="2:12" s="51" customFormat="1" ht="15" customHeight="1" x14ac:dyDescent="0.25">
      <c r="B170" s="55"/>
      <c r="G170" s="55"/>
      <c r="L170" s="55"/>
    </row>
    <row r="171" spans="2:12" s="51" customFormat="1" ht="15" customHeight="1" x14ac:dyDescent="0.25">
      <c r="B171" s="55"/>
      <c r="G171" s="55"/>
      <c r="L171" s="55"/>
    </row>
    <row r="172" spans="2:12" s="51" customFormat="1" ht="15" customHeight="1" x14ac:dyDescent="0.25">
      <c r="B172" s="55"/>
      <c r="G172" s="55"/>
      <c r="L172" s="55"/>
    </row>
    <row r="173" spans="2:12" s="51" customFormat="1" ht="15" customHeight="1" x14ac:dyDescent="0.25">
      <c r="B173" s="55"/>
      <c r="G173" s="55"/>
      <c r="L173" s="55"/>
    </row>
    <row r="174" spans="2:12" s="51" customFormat="1" ht="15" customHeight="1" x14ac:dyDescent="0.25">
      <c r="B174" s="55"/>
      <c r="G174" s="55"/>
      <c r="L174" s="55"/>
    </row>
    <row r="175" spans="2:12" s="51" customFormat="1" ht="15" customHeight="1" x14ac:dyDescent="0.25">
      <c r="B175" s="55"/>
      <c r="G175" s="55"/>
      <c r="L175" s="55"/>
    </row>
    <row r="176" spans="2:12" s="51" customFormat="1" ht="15" customHeight="1" x14ac:dyDescent="0.25">
      <c r="B176" s="55"/>
      <c r="G176" s="55"/>
      <c r="L176" s="55"/>
    </row>
    <row r="177" spans="2:12" s="51" customFormat="1" ht="15" customHeight="1" x14ac:dyDescent="0.25">
      <c r="B177" s="55"/>
      <c r="G177" s="55"/>
      <c r="L177" s="55"/>
    </row>
    <row r="178" spans="2:12" s="51" customFormat="1" ht="15" customHeight="1" x14ac:dyDescent="0.25">
      <c r="B178" s="55"/>
      <c r="G178" s="55"/>
      <c r="L178" s="55"/>
    </row>
    <row r="179" spans="2:12" s="51" customFormat="1" ht="15" customHeight="1" x14ac:dyDescent="0.25">
      <c r="B179" s="55"/>
      <c r="G179" s="55"/>
      <c r="L179" s="55"/>
    </row>
    <row r="180" spans="2:12" s="51" customFormat="1" ht="15" customHeight="1" x14ac:dyDescent="0.25">
      <c r="B180" s="55"/>
      <c r="G180" s="55"/>
      <c r="L180" s="55"/>
    </row>
    <row r="181" spans="2:12" s="51" customFormat="1" ht="15" customHeight="1" x14ac:dyDescent="0.25">
      <c r="B181" s="55"/>
      <c r="G181" s="55"/>
      <c r="L181" s="55"/>
    </row>
    <row r="182" spans="2:12" s="51" customFormat="1" ht="15" customHeight="1" x14ac:dyDescent="0.25">
      <c r="B182" s="55"/>
      <c r="G182" s="55"/>
      <c r="L182" s="55"/>
    </row>
    <row r="183" spans="2:12" s="51" customFormat="1" ht="15" customHeight="1" x14ac:dyDescent="0.25">
      <c r="B183" s="55"/>
      <c r="G183" s="55"/>
      <c r="L183" s="55"/>
    </row>
    <row r="184" spans="2:12" s="51" customFormat="1" ht="15" customHeight="1" x14ac:dyDescent="0.25">
      <c r="B184" s="55"/>
      <c r="G184" s="55"/>
      <c r="L184" s="55"/>
    </row>
    <row r="185" spans="2:12" s="51" customFormat="1" ht="15" customHeight="1" x14ac:dyDescent="0.25">
      <c r="B185" s="55"/>
      <c r="G185" s="55"/>
      <c r="L185" s="55"/>
    </row>
    <row r="186" spans="2:12" s="51" customFormat="1" ht="15" customHeight="1" x14ac:dyDescent="0.25">
      <c r="B186" s="55"/>
      <c r="G186" s="55"/>
      <c r="L186" s="55"/>
    </row>
    <row r="187" spans="2:12" s="51" customFormat="1" ht="15" customHeight="1" x14ac:dyDescent="0.25">
      <c r="B187" s="55"/>
      <c r="G187" s="55"/>
      <c r="L187" s="55"/>
    </row>
    <row r="188" spans="2:12" s="51" customFormat="1" ht="15" customHeight="1" x14ac:dyDescent="0.25">
      <c r="B188" s="55"/>
      <c r="G188" s="55"/>
      <c r="L188" s="55"/>
    </row>
    <row r="189" spans="2:12" s="51" customFormat="1" ht="15" customHeight="1" x14ac:dyDescent="0.25">
      <c r="B189" s="55"/>
      <c r="G189" s="55"/>
      <c r="L189" s="55"/>
    </row>
    <row r="190" spans="2:12" s="51" customFormat="1" ht="15" customHeight="1" x14ac:dyDescent="0.25">
      <c r="B190" s="55"/>
      <c r="G190" s="55"/>
      <c r="L190" s="55"/>
    </row>
    <row r="191" spans="2:12" s="51" customFormat="1" ht="15" customHeight="1" x14ac:dyDescent="0.25">
      <c r="B191" s="55"/>
      <c r="G191" s="55"/>
      <c r="L191" s="55"/>
    </row>
    <row r="192" spans="2:12" s="51" customFormat="1" ht="15" customHeight="1" x14ac:dyDescent="0.25">
      <c r="B192" s="55"/>
      <c r="G192" s="55"/>
      <c r="L192" s="55"/>
    </row>
    <row r="193" spans="2:12" s="51" customFormat="1" ht="15" customHeight="1" x14ac:dyDescent="0.25">
      <c r="B193" s="55"/>
      <c r="G193" s="55"/>
      <c r="L193" s="55"/>
    </row>
    <row r="194" spans="2:12" s="51" customFormat="1" ht="15" customHeight="1" x14ac:dyDescent="0.25">
      <c r="B194" s="55"/>
      <c r="G194" s="55"/>
      <c r="L194" s="55"/>
    </row>
    <row r="195" spans="2:12" s="51" customFormat="1" ht="15" customHeight="1" x14ac:dyDescent="0.25">
      <c r="B195" s="55"/>
      <c r="G195" s="55"/>
      <c r="L195" s="55"/>
    </row>
    <row r="196" spans="2:12" s="51" customFormat="1" ht="15" customHeight="1" x14ac:dyDescent="0.25">
      <c r="B196" s="55"/>
      <c r="G196" s="55"/>
      <c r="L196" s="55"/>
    </row>
    <row r="197" spans="2:12" s="51" customFormat="1" ht="15" customHeight="1" x14ac:dyDescent="0.25">
      <c r="B197" s="55"/>
      <c r="G197" s="55"/>
      <c r="L197" s="55"/>
    </row>
    <row r="198" spans="2:12" s="51" customFormat="1" ht="15" customHeight="1" x14ac:dyDescent="0.25">
      <c r="B198" s="55"/>
      <c r="G198" s="55"/>
      <c r="L198" s="55"/>
    </row>
    <row r="199" spans="2:12" s="51" customFormat="1" ht="15" customHeight="1" x14ac:dyDescent="0.25">
      <c r="B199" s="55"/>
      <c r="G199" s="55"/>
      <c r="L199" s="55"/>
    </row>
    <row r="200" spans="2:12" s="51" customFormat="1" ht="15" customHeight="1" x14ac:dyDescent="0.25">
      <c r="B200" s="55"/>
      <c r="G200" s="55"/>
      <c r="L200" s="55"/>
    </row>
    <row r="201" spans="2:12" s="51" customFormat="1" ht="15" customHeight="1" x14ac:dyDescent="0.25">
      <c r="B201" s="55"/>
      <c r="G201" s="55"/>
      <c r="L201" s="55"/>
    </row>
    <row r="202" spans="2:12" s="51" customFormat="1" ht="15" customHeight="1" x14ac:dyDescent="0.25">
      <c r="B202" s="55"/>
      <c r="G202" s="55"/>
      <c r="L202" s="55"/>
    </row>
    <row r="203" spans="2:12" s="51" customFormat="1" ht="15" customHeight="1" x14ac:dyDescent="0.25">
      <c r="B203" s="55"/>
      <c r="G203" s="55"/>
      <c r="L203" s="55"/>
    </row>
    <row r="204" spans="2:12" s="51" customFormat="1" ht="15" customHeight="1" x14ac:dyDescent="0.25">
      <c r="B204" s="55"/>
      <c r="G204" s="55"/>
      <c r="L204" s="55"/>
    </row>
    <row r="205" spans="2:12" s="51" customFormat="1" ht="15" customHeight="1" x14ac:dyDescent="0.25">
      <c r="B205" s="55"/>
      <c r="G205" s="55"/>
      <c r="L205" s="55"/>
    </row>
    <row r="206" spans="2:12" s="51" customFormat="1" ht="15" customHeight="1" x14ac:dyDescent="0.25">
      <c r="B206" s="55"/>
      <c r="G206" s="55"/>
      <c r="L206" s="55"/>
    </row>
    <row r="207" spans="2:12" s="51" customFormat="1" ht="15" customHeight="1" x14ac:dyDescent="0.25">
      <c r="B207" s="55"/>
      <c r="G207" s="55"/>
      <c r="L207" s="55"/>
    </row>
    <row r="208" spans="2:12" s="51" customFormat="1" ht="15" customHeight="1" x14ac:dyDescent="0.25">
      <c r="B208" s="55"/>
      <c r="G208" s="55"/>
      <c r="L208" s="55"/>
    </row>
  </sheetData>
  <protectedRanges>
    <protectedRange sqref="D13:D167" name="Rango2"/>
    <protectedRange sqref="C1" name="Rango1"/>
  </protectedRanges>
  <mergeCells count="306">
    <mergeCell ref="C1:N3"/>
    <mergeCell ref="B11:F11"/>
    <mergeCell ref="G11:K11"/>
    <mergeCell ref="L11:O11"/>
    <mergeCell ref="C12:F12"/>
    <mergeCell ref="H12:K12"/>
    <mergeCell ref="C18:F18"/>
    <mergeCell ref="C19:F19"/>
    <mergeCell ref="C20:F20"/>
    <mergeCell ref="C21:F21"/>
    <mergeCell ref="C22:F22"/>
    <mergeCell ref="C23:F23"/>
    <mergeCell ref="M12:O12"/>
    <mergeCell ref="C13:F13"/>
    <mergeCell ref="C14:F14"/>
    <mergeCell ref="C15:F15"/>
    <mergeCell ref="C16:F16"/>
    <mergeCell ref="C17:F17"/>
    <mergeCell ref="H13:K13"/>
    <mergeCell ref="H14:K14"/>
    <mergeCell ref="H15:K15"/>
    <mergeCell ref="H16:K16"/>
    <mergeCell ref="C30:F30"/>
    <mergeCell ref="C31:F31"/>
    <mergeCell ref="C32:F32"/>
    <mergeCell ref="C33:F33"/>
    <mergeCell ref="C34:F34"/>
    <mergeCell ref="C35:F35"/>
    <mergeCell ref="C24:F24"/>
    <mergeCell ref="C25:F25"/>
    <mergeCell ref="C26:F26"/>
    <mergeCell ref="C27:F27"/>
    <mergeCell ref="C28:F28"/>
    <mergeCell ref="C29:F29"/>
    <mergeCell ref="C42:F42"/>
    <mergeCell ref="C43:F43"/>
    <mergeCell ref="C44:F44"/>
    <mergeCell ref="C45:F45"/>
    <mergeCell ref="C46:F46"/>
    <mergeCell ref="C47:F47"/>
    <mergeCell ref="C36:F36"/>
    <mergeCell ref="C37:F37"/>
    <mergeCell ref="C38:F38"/>
    <mergeCell ref="C39:F39"/>
    <mergeCell ref="C40:F40"/>
    <mergeCell ref="C41:F41"/>
    <mergeCell ref="C54:F54"/>
    <mergeCell ref="C55:F55"/>
    <mergeCell ref="C56:F56"/>
    <mergeCell ref="C57:F57"/>
    <mergeCell ref="C58:F58"/>
    <mergeCell ref="C59:F59"/>
    <mergeCell ref="C48:F48"/>
    <mergeCell ref="C49:F49"/>
    <mergeCell ref="C50:F50"/>
    <mergeCell ref="C51:F51"/>
    <mergeCell ref="C52:F52"/>
    <mergeCell ref="C53:F53"/>
    <mergeCell ref="C66:F66"/>
    <mergeCell ref="C67:F67"/>
    <mergeCell ref="C68:F68"/>
    <mergeCell ref="C69:F69"/>
    <mergeCell ref="C70:F70"/>
    <mergeCell ref="C71:F71"/>
    <mergeCell ref="C60:F60"/>
    <mergeCell ref="C61:F61"/>
    <mergeCell ref="C62:F62"/>
    <mergeCell ref="C63:F63"/>
    <mergeCell ref="C64:F64"/>
    <mergeCell ref="C65:F65"/>
    <mergeCell ref="C78:F78"/>
    <mergeCell ref="C79:F79"/>
    <mergeCell ref="C80:F80"/>
    <mergeCell ref="C81:F81"/>
    <mergeCell ref="C82:F82"/>
    <mergeCell ref="C83:F83"/>
    <mergeCell ref="C72:F72"/>
    <mergeCell ref="C73:F73"/>
    <mergeCell ref="C74:F74"/>
    <mergeCell ref="C75:F75"/>
    <mergeCell ref="C76:F76"/>
    <mergeCell ref="C77:F77"/>
    <mergeCell ref="C90:F90"/>
    <mergeCell ref="C91:F91"/>
    <mergeCell ref="C92:F92"/>
    <mergeCell ref="C93:F93"/>
    <mergeCell ref="C94:F94"/>
    <mergeCell ref="C95:F95"/>
    <mergeCell ref="C84:F84"/>
    <mergeCell ref="C85:F85"/>
    <mergeCell ref="C86:F86"/>
    <mergeCell ref="C87:F87"/>
    <mergeCell ref="C88:F88"/>
    <mergeCell ref="C89:F89"/>
    <mergeCell ref="C102:F102"/>
    <mergeCell ref="C103:F103"/>
    <mergeCell ref="C104:F104"/>
    <mergeCell ref="C105:F105"/>
    <mergeCell ref="C106:F106"/>
    <mergeCell ref="C107:F107"/>
    <mergeCell ref="C96:F96"/>
    <mergeCell ref="C97:F97"/>
    <mergeCell ref="C98:F98"/>
    <mergeCell ref="C99:F99"/>
    <mergeCell ref="C100:F100"/>
    <mergeCell ref="C101:F101"/>
    <mergeCell ref="C114:F114"/>
    <mergeCell ref="C115:F115"/>
    <mergeCell ref="C116:F116"/>
    <mergeCell ref="C117:F117"/>
    <mergeCell ref="C118:F118"/>
    <mergeCell ref="C119:F119"/>
    <mergeCell ref="C108:F108"/>
    <mergeCell ref="C109:F109"/>
    <mergeCell ref="C110:F110"/>
    <mergeCell ref="C111:F111"/>
    <mergeCell ref="C112:F112"/>
    <mergeCell ref="C113:F113"/>
    <mergeCell ref="C126:F126"/>
    <mergeCell ref="C127:F127"/>
    <mergeCell ref="C128:F128"/>
    <mergeCell ref="C129:F129"/>
    <mergeCell ref="C130:F130"/>
    <mergeCell ref="C131:F131"/>
    <mergeCell ref="C120:F120"/>
    <mergeCell ref="C121:F121"/>
    <mergeCell ref="C122:F122"/>
    <mergeCell ref="C123:F123"/>
    <mergeCell ref="C124:F124"/>
    <mergeCell ref="C125:F125"/>
    <mergeCell ref="C138:F138"/>
    <mergeCell ref="C139:F139"/>
    <mergeCell ref="C140:F140"/>
    <mergeCell ref="C141:F141"/>
    <mergeCell ref="C142:F142"/>
    <mergeCell ref="C143:F143"/>
    <mergeCell ref="C132:F132"/>
    <mergeCell ref="C133:F133"/>
    <mergeCell ref="C134:F134"/>
    <mergeCell ref="C135:F135"/>
    <mergeCell ref="C136:F136"/>
    <mergeCell ref="C137:F137"/>
    <mergeCell ref="C150:F150"/>
    <mergeCell ref="C151:F151"/>
    <mergeCell ref="C152:F152"/>
    <mergeCell ref="C153:F153"/>
    <mergeCell ref="C154:F154"/>
    <mergeCell ref="C155:F155"/>
    <mergeCell ref="C144:F144"/>
    <mergeCell ref="C145:F145"/>
    <mergeCell ref="C146:F146"/>
    <mergeCell ref="C147:F147"/>
    <mergeCell ref="C148:F148"/>
    <mergeCell ref="C149:F149"/>
    <mergeCell ref="C162:F162"/>
    <mergeCell ref="C163:F163"/>
    <mergeCell ref="C164:F164"/>
    <mergeCell ref="C165:F165"/>
    <mergeCell ref="C166:F166"/>
    <mergeCell ref="C167:F167"/>
    <mergeCell ref="C156:F156"/>
    <mergeCell ref="C157:F157"/>
    <mergeCell ref="C158:F158"/>
    <mergeCell ref="C159:F159"/>
    <mergeCell ref="C160:F160"/>
    <mergeCell ref="C161:F161"/>
    <mergeCell ref="H23:K23"/>
    <mergeCell ref="H24:K24"/>
    <mergeCell ref="H25:K25"/>
    <mergeCell ref="H26:K26"/>
    <mergeCell ref="H27:K27"/>
    <mergeCell ref="H28:K28"/>
    <mergeCell ref="H17:K17"/>
    <mergeCell ref="H18:K18"/>
    <mergeCell ref="H19:K19"/>
    <mergeCell ref="H20:K20"/>
    <mergeCell ref="H21:K21"/>
    <mergeCell ref="H22:K22"/>
    <mergeCell ref="H35:K35"/>
    <mergeCell ref="H36:K36"/>
    <mergeCell ref="H37:K37"/>
    <mergeCell ref="H38:K38"/>
    <mergeCell ref="H39:K39"/>
    <mergeCell ref="H40:K40"/>
    <mergeCell ref="H29:K29"/>
    <mergeCell ref="H30:K30"/>
    <mergeCell ref="H31:K31"/>
    <mergeCell ref="H32:K32"/>
    <mergeCell ref="H33:K33"/>
    <mergeCell ref="H34:K34"/>
    <mergeCell ref="H47:K47"/>
    <mergeCell ref="H48:K48"/>
    <mergeCell ref="H49:K49"/>
    <mergeCell ref="H50:K50"/>
    <mergeCell ref="H51:K51"/>
    <mergeCell ref="H52:K52"/>
    <mergeCell ref="H41:K41"/>
    <mergeCell ref="H42:K42"/>
    <mergeCell ref="H43:K43"/>
    <mergeCell ref="H44:K44"/>
    <mergeCell ref="H45:K45"/>
    <mergeCell ref="H46:K46"/>
    <mergeCell ref="H59:K59"/>
    <mergeCell ref="H60:K60"/>
    <mergeCell ref="H61:K61"/>
    <mergeCell ref="H62:K62"/>
    <mergeCell ref="H63:K63"/>
    <mergeCell ref="H64:K64"/>
    <mergeCell ref="H53:K53"/>
    <mergeCell ref="H54:K54"/>
    <mergeCell ref="H55:K55"/>
    <mergeCell ref="H56:K56"/>
    <mergeCell ref="H57:K57"/>
    <mergeCell ref="H58:K58"/>
    <mergeCell ref="H73:K73"/>
    <mergeCell ref="H74:K74"/>
    <mergeCell ref="H75:K75"/>
    <mergeCell ref="H76:K76"/>
    <mergeCell ref="H65:K65"/>
    <mergeCell ref="H66:K66"/>
    <mergeCell ref="H67:K67"/>
    <mergeCell ref="H68:K68"/>
    <mergeCell ref="H69:K69"/>
    <mergeCell ref="H70:K70"/>
    <mergeCell ref="M21:O21"/>
    <mergeCell ref="M22:O22"/>
    <mergeCell ref="M23:O23"/>
    <mergeCell ref="M24:O24"/>
    <mergeCell ref="M25:O25"/>
    <mergeCell ref="M26:O26"/>
    <mergeCell ref="H83:K83"/>
    <mergeCell ref="H84:K84"/>
    <mergeCell ref="M13:O13"/>
    <mergeCell ref="M14:O14"/>
    <mergeCell ref="M15:O15"/>
    <mergeCell ref="M16:O16"/>
    <mergeCell ref="M17:O17"/>
    <mergeCell ref="M18:O18"/>
    <mergeCell ref="M19:O19"/>
    <mergeCell ref="M20:O20"/>
    <mergeCell ref="H77:K77"/>
    <mergeCell ref="H78:K78"/>
    <mergeCell ref="H79:K79"/>
    <mergeCell ref="H80:K80"/>
    <mergeCell ref="H81:K81"/>
    <mergeCell ref="H82:K82"/>
    <mergeCell ref="H71:K71"/>
    <mergeCell ref="H72:K72"/>
    <mergeCell ref="M33:O33"/>
    <mergeCell ref="M34:O34"/>
    <mergeCell ref="M35:O35"/>
    <mergeCell ref="M36:O36"/>
    <mergeCell ref="M37:O37"/>
    <mergeCell ref="M38:O38"/>
    <mergeCell ref="M27:O27"/>
    <mergeCell ref="M28:O28"/>
    <mergeCell ref="M29:O29"/>
    <mergeCell ref="M30:O30"/>
    <mergeCell ref="M31:O31"/>
    <mergeCell ref="M32:O32"/>
    <mergeCell ref="M48:O48"/>
    <mergeCell ref="M49:O49"/>
    <mergeCell ref="M50:O50"/>
    <mergeCell ref="M39:O39"/>
    <mergeCell ref="M40:O40"/>
    <mergeCell ref="M41:O41"/>
    <mergeCell ref="M42:O42"/>
    <mergeCell ref="M43:O43"/>
    <mergeCell ref="M44:O44"/>
    <mergeCell ref="M80:O80"/>
    <mergeCell ref="M69:O69"/>
    <mergeCell ref="M70:O70"/>
    <mergeCell ref="M71:O71"/>
    <mergeCell ref="M72:O72"/>
    <mergeCell ref="M73:O73"/>
    <mergeCell ref="M74:O74"/>
    <mergeCell ref="M63:O63"/>
    <mergeCell ref="M64:O64"/>
    <mergeCell ref="M65:O65"/>
    <mergeCell ref="M66:O66"/>
    <mergeCell ref="M67:O67"/>
    <mergeCell ref="M68:O68"/>
    <mergeCell ref="J9:J10"/>
    <mergeCell ref="I9:I10"/>
    <mergeCell ref="B9:H10"/>
    <mergeCell ref="K9:O10"/>
    <mergeCell ref="M75:O75"/>
    <mergeCell ref="M76:O76"/>
    <mergeCell ref="M77:O77"/>
    <mergeCell ref="M78:O78"/>
    <mergeCell ref="M79:O79"/>
    <mergeCell ref="M57:O57"/>
    <mergeCell ref="M58:O58"/>
    <mergeCell ref="M59:O59"/>
    <mergeCell ref="M60:O60"/>
    <mergeCell ref="M61:O61"/>
    <mergeCell ref="M62:O62"/>
    <mergeCell ref="M51:O51"/>
    <mergeCell ref="M52:O52"/>
    <mergeCell ref="M53:O53"/>
    <mergeCell ref="M54:O54"/>
    <mergeCell ref="M55:O55"/>
    <mergeCell ref="M56:O56"/>
    <mergeCell ref="M45:O45"/>
    <mergeCell ref="M46:O46"/>
    <mergeCell ref="M47:O47"/>
  </mergeCells>
  <conditionalFormatting sqref="D8">
    <cfRule type="expression" dxfId="13" priority="16">
      <formula>$B$12=1</formula>
    </cfRule>
  </conditionalFormatting>
  <conditionalFormatting sqref="B14">
    <cfRule type="expression" dxfId="12" priority="15">
      <formula>$C$14=" "</formula>
    </cfRule>
  </conditionalFormatting>
  <conditionalFormatting sqref="B15">
    <cfRule type="expression" dxfId="11" priority="14">
      <formula>$C$15=" "</formula>
    </cfRule>
  </conditionalFormatting>
  <conditionalFormatting sqref="B16">
    <cfRule type="expression" dxfId="10" priority="13">
      <formula>$C$16=" "</formula>
    </cfRule>
  </conditionalFormatting>
  <conditionalFormatting sqref="B13">
    <cfRule type="expression" dxfId="9" priority="11">
      <formula>$C$13=" "</formula>
    </cfRule>
  </conditionalFormatting>
  <conditionalFormatting sqref="B17">
    <cfRule type="expression" dxfId="8" priority="9">
      <formula>$C$17=" "</formula>
    </cfRule>
  </conditionalFormatting>
  <conditionalFormatting sqref="L13">
    <cfRule type="expression" dxfId="7" priority="8">
      <formula>$M$13=" "</formula>
    </cfRule>
  </conditionalFormatting>
  <conditionalFormatting sqref="L14">
    <cfRule type="expression" dxfId="6" priority="7">
      <formula>$M$14=" "</formula>
    </cfRule>
  </conditionalFormatting>
  <conditionalFormatting sqref="L15">
    <cfRule type="expression" dxfId="5" priority="6">
      <formula>$M$15=" "</formula>
    </cfRule>
  </conditionalFormatting>
  <conditionalFormatting sqref="L16">
    <cfRule type="expression" dxfId="4" priority="5">
      <formula>$M$16=" "</formula>
    </cfRule>
  </conditionalFormatting>
  <conditionalFormatting sqref="G13">
    <cfRule type="expression" dxfId="3" priority="4">
      <formula>$H$13=" "</formula>
    </cfRule>
  </conditionalFormatting>
  <conditionalFormatting sqref="G14">
    <cfRule type="expression" dxfId="2" priority="3">
      <formula>$H$14=" "</formula>
    </cfRule>
  </conditionalFormatting>
  <conditionalFormatting sqref="G15">
    <cfRule type="expression" dxfId="1" priority="2">
      <formula>$H$15=" "</formula>
    </cfRule>
  </conditionalFormatting>
  <conditionalFormatting sqref="G16">
    <cfRule type="expression" dxfId="0" priority="1">
      <formula>$H$16=" "</formula>
    </cfRule>
  </conditionalFormatting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0E99C4-07DD-470C-82AF-FE22BBB3998A}">
          <x14:formula1>
            <xm:f>'Asignación Tareas'!$J$8:$J$10</xm:f>
          </x14:formula1>
          <xm:sqref>F6</xm:sqref>
        </x14:dataValidation>
        <x14:dataValidation type="list" allowBlank="1" showInputMessage="1" showErrorMessage="1" xr:uid="{26FEEC40-9022-4C9D-9C00-6CF8BB713612}">
          <x14:formula1>
            <xm:f>'Descripción de Tareas'!$B$9:$B$12</xm:f>
          </x14:formula1>
          <xm:sqref>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07593-5D6C-421D-91D2-4DD633AFCCE9}">
  <sheetPr codeName="Hoja5"/>
  <dimension ref="A1:N96"/>
  <sheetViews>
    <sheetView showGridLines="0" topLeftCell="A12" zoomScale="103" zoomScaleNormal="103" workbookViewId="0">
      <selection activeCell="E14" sqref="E14"/>
    </sheetView>
  </sheetViews>
  <sheetFormatPr baseColWidth="10" defaultColWidth="0" defaultRowHeight="17.25" customHeight="1" x14ac:dyDescent="0.25"/>
  <cols>
    <col min="1" max="1" width="11.42578125" style="37" customWidth="1"/>
    <col min="2" max="2" width="11.42578125" style="70" customWidth="1"/>
    <col min="3" max="3" width="11.42578125" style="42" customWidth="1"/>
    <col min="4" max="4" width="23" style="70" customWidth="1"/>
    <col min="5" max="5" width="19.5703125" style="42" customWidth="1"/>
    <col min="6" max="6" width="11.42578125" style="42" customWidth="1"/>
    <col min="7" max="7" width="11.42578125" style="70" customWidth="1"/>
    <col min="8" max="8" width="11.42578125" style="42" customWidth="1"/>
    <col min="9" max="9" width="11.42578125" style="37" customWidth="1"/>
    <col min="10" max="10" width="14.85546875" style="37" customWidth="1"/>
    <col min="11" max="14" width="11.42578125" style="37" customWidth="1"/>
    <col min="15" max="16384" width="11.42578125" style="37" hidden="1"/>
  </cols>
  <sheetData>
    <row r="1" spans="1:14" customFormat="1" ht="18.75" customHeight="1" x14ac:dyDescent="0.25">
      <c r="A1" s="1"/>
      <c r="B1" s="34"/>
      <c r="C1" s="105" t="s">
        <v>16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</row>
    <row r="2" spans="1:14" customFormat="1" ht="18.75" customHeight="1" x14ac:dyDescent="0.25">
      <c r="A2" s="4"/>
      <c r="B2" s="3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</row>
    <row r="3" spans="1:14" customFormat="1" ht="18.75" customHeight="1" thickBot="1" x14ac:dyDescent="0.3">
      <c r="A3" s="4"/>
      <c r="B3" s="35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</row>
    <row r="4" spans="1:14" s="45" customFormat="1" ht="17.25" customHeight="1" thickTop="1" x14ac:dyDescent="0.25">
      <c r="A4" s="43"/>
      <c r="B4" s="69"/>
      <c r="C4" s="44"/>
      <c r="D4" s="47"/>
      <c r="E4" s="44"/>
      <c r="F4" s="44"/>
      <c r="G4" s="47"/>
      <c r="H4" s="44"/>
    </row>
    <row r="5" spans="1:14" s="49" customFormat="1" ht="17.25" customHeight="1" x14ac:dyDescent="0.25">
      <c r="A5" s="47"/>
      <c r="B5" s="53"/>
      <c r="C5" s="50"/>
      <c r="D5" s="53"/>
      <c r="E5" s="50"/>
      <c r="F5" s="50"/>
      <c r="G5" s="53"/>
      <c r="H5" s="48"/>
    </row>
    <row r="6" spans="1:14" s="45" customFormat="1" ht="17.25" customHeight="1" x14ac:dyDescent="0.25">
      <c r="A6" s="44"/>
      <c r="B6" s="100" t="s">
        <v>54</v>
      </c>
      <c r="C6" s="50"/>
      <c r="D6" s="53"/>
      <c r="E6" s="50"/>
      <c r="F6" s="50"/>
      <c r="G6" s="53"/>
      <c r="H6" s="46"/>
    </row>
    <row r="7" spans="1:14" s="45" customFormat="1" ht="17.25" customHeight="1" thickBot="1" x14ac:dyDescent="0.3">
      <c r="A7" s="44"/>
      <c r="B7" s="53"/>
      <c r="C7" s="50"/>
      <c r="D7" s="53"/>
      <c r="E7" s="50"/>
      <c r="F7" s="50"/>
      <c r="G7" s="53"/>
      <c r="H7" s="46"/>
    </row>
    <row r="8" spans="1:14" s="45" customFormat="1" ht="28.5" customHeight="1" thickBot="1" x14ac:dyDescent="0.3">
      <c r="A8" s="44"/>
      <c r="B8" s="101" t="s">
        <v>33</v>
      </c>
      <c r="C8" s="102"/>
      <c r="D8" s="53"/>
      <c r="E8" s="50"/>
      <c r="F8" s="50"/>
      <c r="G8" s="53"/>
      <c r="H8" s="46"/>
      <c r="I8" s="53"/>
      <c r="J8" s="103"/>
    </row>
    <row r="9" spans="1:14" s="45" customFormat="1" ht="17.25" customHeight="1" thickBot="1" x14ac:dyDescent="0.3">
      <c r="A9" s="44"/>
      <c r="B9" s="53"/>
      <c r="C9" s="50"/>
      <c r="D9" s="53"/>
      <c r="E9" s="50"/>
      <c r="F9" s="50"/>
      <c r="G9" s="53"/>
      <c r="H9" s="46"/>
    </row>
    <row r="10" spans="1:14" s="45" customFormat="1" ht="17.25" customHeight="1" thickBot="1" x14ac:dyDescent="0.3">
      <c r="A10" s="44"/>
      <c r="B10" s="101" t="s">
        <v>55</v>
      </c>
      <c r="C10" s="102">
        <v>15</v>
      </c>
      <c r="D10" s="53" t="s">
        <v>56</v>
      </c>
      <c r="E10" s="50"/>
      <c r="F10" s="50"/>
      <c r="G10" s="53"/>
      <c r="H10" s="46"/>
    </row>
    <row r="11" spans="1:14" s="45" customFormat="1" ht="17.25" customHeight="1" x14ac:dyDescent="0.25">
      <c r="A11" s="44"/>
      <c r="B11" s="53"/>
      <c r="C11" s="50"/>
      <c r="D11" s="53"/>
      <c r="E11" s="50"/>
      <c r="F11" s="50"/>
      <c r="G11" s="53"/>
      <c r="H11" s="46"/>
    </row>
    <row r="12" spans="1:14" s="45" customFormat="1" ht="17.25" customHeight="1" x14ac:dyDescent="0.25">
      <c r="A12" s="44"/>
      <c r="B12" s="53"/>
      <c r="C12" s="50"/>
      <c r="D12" s="53"/>
      <c r="E12" s="50"/>
      <c r="F12" s="50"/>
      <c r="G12" s="53"/>
      <c r="H12" s="46"/>
    </row>
    <row r="13" spans="1:14" s="45" customFormat="1" ht="17.25" customHeight="1" x14ac:dyDescent="0.25">
      <c r="A13" s="44"/>
      <c r="B13" s="146" t="s">
        <v>57</v>
      </c>
      <c r="C13" s="146"/>
      <c r="D13" s="53" t="s">
        <v>58</v>
      </c>
      <c r="E13" s="53" t="s">
        <v>59</v>
      </c>
      <c r="F13" s="50"/>
      <c r="G13" s="53"/>
      <c r="H13" s="46"/>
    </row>
    <row r="14" spans="1:14" s="45" customFormat="1" ht="17.25" customHeight="1" x14ac:dyDescent="0.25">
      <c r="A14" s="44"/>
      <c r="B14" s="157">
        <v>44225</v>
      </c>
      <c r="C14" s="157"/>
      <c r="D14" s="49">
        <v>15</v>
      </c>
      <c r="E14" s="53">
        <v>15</v>
      </c>
      <c r="F14" s="50"/>
      <c r="G14" s="53"/>
      <c r="H14" s="46"/>
    </row>
    <row r="15" spans="1:14" s="45" customFormat="1" ht="17.25" customHeight="1" x14ac:dyDescent="0.25">
      <c r="A15" s="44"/>
      <c r="B15" s="157">
        <v>44226</v>
      </c>
      <c r="C15" s="157"/>
      <c r="D15" s="49">
        <v>14</v>
      </c>
      <c r="E15" s="53">
        <v>15</v>
      </c>
      <c r="F15" s="50"/>
      <c r="G15" s="53"/>
      <c r="H15" s="46"/>
    </row>
    <row r="16" spans="1:14" s="45" customFormat="1" ht="17.25" customHeight="1" x14ac:dyDescent="0.25">
      <c r="A16" s="44"/>
      <c r="B16" s="157">
        <v>44227</v>
      </c>
      <c r="C16" s="157"/>
      <c r="D16" s="49">
        <v>13</v>
      </c>
      <c r="E16" s="53"/>
      <c r="F16" s="50"/>
      <c r="G16" s="53"/>
      <c r="H16" s="46"/>
    </row>
    <row r="17" spans="1:8" s="45" customFormat="1" ht="17.25" customHeight="1" x14ac:dyDescent="0.25">
      <c r="A17" s="44"/>
      <c r="B17" s="157">
        <v>44228</v>
      </c>
      <c r="C17" s="157"/>
      <c r="D17" s="49">
        <v>12</v>
      </c>
      <c r="E17" s="53"/>
      <c r="F17" s="50"/>
      <c r="G17" s="53"/>
      <c r="H17" s="46"/>
    </row>
    <row r="18" spans="1:8" s="45" customFormat="1" ht="17.25" customHeight="1" x14ac:dyDescent="0.25">
      <c r="B18" s="157">
        <v>44229</v>
      </c>
      <c r="C18" s="157"/>
      <c r="D18" s="49">
        <v>11</v>
      </c>
      <c r="E18" s="53"/>
      <c r="F18" s="50"/>
      <c r="G18" s="53"/>
      <c r="H18" s="46"/>
    </row>
    <row r="19" spans="1:8" s="45" customFormat="1" ht="17.25" customHeight="1" x14ac:dyDescent="0.25">
      <c r="B19" s="157">
        <v>44230</v>
      </c>
      <c r="C19" s="157"/>
      <c r="D19" s="49">
        <v>10</v>
      </c>
      <c r="E19" s="48"/>
      <c r="F19" s="46"/>
      <c r="G19" s="48"/>
      <c r="H19" s="46"/>
    </row>
    <row r="20" spans="1:8" s="45" customFormat="1" ht="17.25" customHeight="1" x14ac:dyDescent="0.25">
      <c r="B20" s="157">
        <v>44231</v>
      </c>
      <c r="C20" s="157"/>
      <c r="D20" s="49">
        <v>9</v>
      </c>
      <c r="E20" s="48"/>
      <c r="F20" s="46"/>
      <c r="G20" s="48"/>
      <c r="H20" s="46"/>
    </row>
    <row r="21" spans="1:8" s="45" customFormat="1" ht="17.25" customHeight="1" x14ac:dyDescent="0.25">
      <c r="B21" s="157">
        <v>44232</v>
      </c>
      <c r="C21" s="157"/>
      <c r="D21" s="49">
        <v>8</v>
      </c>
      <c r="E21" s="48"/>
      <c r="F21" s="46"/>
      <c r="G21" s="48"/>
      <c r="H21" s="46"/>
    </row>
    <row r="22" spans="1:8" s="45" customFormat="1" ht="17.25" customHeight="1" x14ac:dyDescent="0.25">
      <c r="B22" s="157">
        <v>44233</v>
      </c>
      <c r="C22" s="157"/>
      <c r="D22" s="49">
        <v>7</v>
      </c>
      <c r="E22" s="48"/>
      <c r="F22" s="46"/>
      <c r="G22" s="48"/>
      <c r="H22" s="46"/>
    </row>
    <row r="23" spans="1:8" s="45" customFormat="1" ht="17.25" customHeight="1" x14ac:dyDescent="0.25">
      <c r="B23" s="157">
        <v>44234</v>
      </c>
      <c r="C23" s="157"/>
      <c r="D23" s="49">
        <v>6</v>
      </c>
      <c r="E23" s="48"/>
      <c r="F23" s="46"/>
      <c r="G23" s="48"/>
      <c r="H23" s="46"/>
    </row>
    <row r="24" spans="1:8" s="45" customFormat="1" ht="17.25" customHeight="1" x14ac:dyDescent="0.25">
      <c r="B24" s="157">
        <v>44235</v>
      </c>
      <c r="C24" s="157"/>
      <c r="D24" s="49">
        <v>5</v>
      </c>
      <c r="E24" s="48"/>
      <c r="F24" s="46"/>
      <c r="G24" s="48"/>
      <c r="H24" s="46"/>
    </row>
    <row r="25" spans="1:8" s="45" customFormat="1" ht="17.25" customHeight="1" x14ac:dyDescent="0.25">
      <c r="B25" s="157">
        <v>44236</v>
      </c>
      <c r="C25" s="157"/>
      <c r="D25" s="49">
        <v>4</v>
      </c>
      <c r="E25" s="48"/>
      <c r="F25" s="46"/>
      <c r="G25" s="48"/>
      <c r="H25" s="46"/>
    </row>
    <row r="26" spans="1:8" s="45" customFormat="1" ht="17.25" customHeight="1" x14ac:dyDescent="0.25">
      <c r="B26" s="157">
        <v>44237</v>
      </c>
      <c r="C26" s="157"/>
      <c r="D26" s="49">
        <v>3</v>
      </c>
      <c r="E26" s="48"/>
      <c r="F26" s="46"/>
      <c r="G26" s="48"/>
      <c r="H26" s="46"/>
    </row>
    <row r="27" spans="1:8" s="45" customFormat="1" ht="17.25" customHeight="1" x14ac:dyDescent="0.25">
      <c r="B27" s="157">
        <v>44238</v>
      </c>
      <c r="C27" s="157"/>
      <c r="D27" s="49">
        <v>2</v>
      </c>
      <c r="E27" s="48"/>
      <c r="F27" s="46"/>
      <c r="G27" s="48"/>
      <c r="H27" s="46"/>
    </row>
    <row r="28" spans="1:8" s="45" customFormat="1" ht="17.25" customHeight="1" x14ac:dyDescent="0.25">
      <c r="B28" s="157">
        <v>44239</v>
      </c>
      <c r="C28" s="157"/>
      <c r="D28" s="49">
        <v>1</v>
      </c>
      <c r="E28" s="48"/>
      <c r="F28" s="46"/>
      <c r="G28" s="48"/>
      <c r="H28" s="46"/>
    </row>
    <row r="29" spans="1:8" s="45" customFormat="1" ht="17.25" customHeight="1" x14ac:dyDescent="0.25">
      <c r="B29" s="157"/>
      <c r="C29" s="157"/>
      <c r="D29" s="48"/>
      <c r="E29" s="46"/>
      <c r="F29" s="46"/>
      <c r="G29" s="48"/>
      <c r="H29" s="46"/>
    </row>
    <row r="30" spans="1:8" s="45" customFormat="1" ht="17.25" customHeight="1" x14ac:dyDescent="0.25">
      <c r="B30" s="157"/>
      <c r="C30" s="157"/>
      <c r="D30" s="48"/>
      <c r="E30" s="46"/>
      <c r="F30" s="46"/>
      <c r="G30" s="48"/>
      <c r="H30" s="46"/>
    </row>
    <row r="31" spans="1:8" s="45" customFormat="1" ht="17.25" customHeight="1" x14ac:dyDescent="0.25">
      <c r="B31" s="103"/>
      <c r="C31" s="46"/>
      <c r="D31" s="48"/>
      <c r="E31" s="46"/>
      <c r="F31" s="46"/>
      <c r="G31" s="48"/>
      <c r="H31" s="46"/>
    </row>
    <row r="32" spans="1:8" s="45" customFormat="1" ht="17.25" customHeight="1" x14ac:dyDescent="0.25">
      <c r="B32" s="48"/>
      <c r="C32" s="46"/>
      <c r="D32" s="48"/>
      <c r="E32" s="46"/>
      <c r="F32" s="46"/>
      <c r="G32" s="48"/>
      <c r="H32" s="46"/>
    </row>
    <row r="33" spans="2:8" s="45" customFormat="1" ht="17.25" customHeight="1" x14ac:dyDescent="0.25">
      <c r="B33" s="48"/>
      <c r="C33" s="46"/>
      <c r="D33" s="48"/>
      <c r="E33" s="46"/>
      <c r="F33" s="46"/>
      <c r="G33" s="48"/>
      <c r="H33" s="46"/>
    </row>
    <row r="34" spans="2:8" s="45" customFormat="1" ht="17.25" customHeight="1" x14ac:dyDescent="0.25">
      <c r="B34" s="48"/>
      <c r="C34" s="46"/>
      <c r="D34" s="48"/>
      <c r="E34" s="46"/>
      <c r="F34" s="46"/>
      <c r="G34" s="48"/>
      <c r="H34" s="46"/>
    </row>
    <row r="35" spans="2:8" s="45" customFormat="1" ht="17.25" customHeight="1" x14ac:dyDescent="0.25">
      <c r="B35" s="48"/>
      <c r="C35" s="46"/>
      <c r="D35" s="48"/>
      <c r="E35" s="46"/>
      <c r="F35" s="46"/>
      <c r="G35" s="48"/>
      <c r="H35" s="46"/>
    </row>
    <row r="36" spans="2:8" s="45" customFormat="1" ht="17.25" customHeight="1" x14ac:dyDescent="0.25">
      <c r="B36" s="48"/>
      <c r="C36" s="46"/>
      <c r="D36" s="48"/>
      <c r="E36" s="46"/>
      <c r="F36" s="46"/>
      <c r="G36" s="48"/>
      <c r="H36" s="46"/>
    </row>
    <row r="37" spans="2:8" s="45" customFormat="1" ht="17.25" customHeight="1" x14ac:dyDescent="0.25">
      <c r="B37" s="48"/>
      <c r="C37" s="46"/>
      <c r="D37" s="48"/>
      <c r="E37" s="46"/>
      <c r="F37" s="46"/>
      <c r="G37" s="48"/>
      <c r="H37" s="46"/>
    </row>
    <row r="38" spans="2:8" s="45" customFormat="1" ht="17.25" customHeight="1" x14ac:dyDescent="0.25">
      <c r="B38" s="48"/>
      <c r="C38" s="46"/>
      <c r="D38" s="48"/>
      <c r="E38" s="46"/>
      <c r="F38" s="46"/>
      <c r="G38" s="48"/>
      <c r="H38" s="46"/>
    </row>
    <row r="39" spans="2:8" s="45" customFormat="1" ht="17.25" customHeight="1" x14ac:dyDescent="0.25">
      <c r="B39" s="48"/>
      <c r="C39" s="46"/>
      <c r="D39" s="48"/>
      <c r="E39" s="46"/>
      <c r="F39" s="46"/>
      <c r="G39" s="48"/>
      <c r="H39" s="46"/>
    </row>
    <row r="40" spans="2:8" s="45" customFormat="1" ht="17.25" customHeight="1" x14ac:dyDescent="0.25">
      <c r="B40" s="48"/>
      <c r="C40" s="46"/>
      <c r="D40" s="48"/>
      <c r="E40" s="46"/>
      <c r="F40" s="46"/>
      <c r="G40" s="48"/>
      <c r="H40" s="46"/>
    </row>
    <row r="41" spans="2:8" s="45" customFormat="1" ht="17.25" customHeight="1" x14ac:dyDescent="0.25">
      <c r="B41" s="48"/>
      <c r="C41" s="46"/>
      <c r="D41" s="48"/>
      <c r="E41" s="46"/>
      <c r="F41" s="46"/>
      <c r="G41" s="48"/>
      <c r="H41" s="46"/>
    </row>
    <row r="42" spans="2:8" s="45" customFormat="1" ht="17.25" customHeight="1" x14ac:dyDescent="0.25">
      <c r="B42" s="48"/>
      <c r="C42" s="46"/>
      <c r="D42" s="48"/>
      <c r="E42" s="46"/>
      <c r="F42" s="46"/>
      <c r="G42" s="48"/>
      <c r="H42" s="46"/>
    </row>
    <row r="43" spans="2:8" s="45" customFormat="1" ht="17.25" customHeight="1" x14ac:dyDescent="0.25">
      <c r="B43" s="48"/>
      <c r="C43" s="46"/>
      <c r="D43" s="48"/>
      <c r="E43" s="46"/>
      <c r="F43" s="46"/>
      <c r="G43" s="48"/>
      <c r="H43" s="46"/>
    </row>
    <row r="44" spans="2:8" s="45" customFormat="1" ht="17.25" customHeight="1" x14ac:dyDescent="0.25">
      <c r="B44" s="48"/>
      <c r="C44" s="46"/>
      <c r="D44" s="48"/>
      <c r="E44" s="46"/>
      <c r="F44" s="46"/>
      <c r="G44" s="48"/>
      <c r="H44" s="46"/>
    </row>
    <row r="45" spans="2:8" s="45" customFormat="1" ht="17.25" customHeight="1" x14ac:dyDescent="0.25">
      <c r="B45" s="48"/>
      <c r="C45" s="46"/>
      <c r="D45" s="48"/>
      <c r="E45" s="46"/>
      <c r="F45" s="46"/>
      <c r="G45" s="48"/>
      <c r="H45" s="46"/>
    </row>
    <row r="46" spans="2:8" s="45" customFormat="1" ht="17.25" customHeight="1" x14ac:dyDescent="0.25">
      <c r="B46" s="48"/>
      <c r="C46" s="46"/>
      <c r="D46" s="48"/>
      <c r="E46" s="46"/>
      <c r="F46" s="46"/>
      <c r="G46" s="48"/>
      <c r="H46" s="46"/>
    </row>
    <row r="47" spans="2:8" s="45" customFormat="1" ht="17.25" customHeight="1" x14ac:dyDescent="0.25">
      <c r="B47" s="48"/>
      <c r="C47" s="46"/>
      <c r="D47" s="48"/>
      <c r="E47" s="46"/>
      <c r="F47" s="46"/>
      <c r="G47" s="48"/>
      <c r="H47" s="46"/>
    </row>
    <row r="48" spans="2:8" s="45" customFormat="1" ht="17.25" customHeight="1" x14ac:dyDescent="0.25">
      <c r="B48" s="48"/>
      <c r="C48" s="46"/>
      <c r="D48" s="48"/>
      <c r="E48" s="46"/>
      <c r="F48" s="46"/>
      <c r="G48" s="48"/>
      <c r="H48" s="46"/>
    </row>
    <row r="49" spans="2:8" s="45" customFormat="1" ht="17.25" customHeight="1" x14ac:dyDescent="0.25">
      <c r="B49" s="48"/>
      <c r="C49" s="46"/>
      <c r="D49" s="48"/>
      <c r="E49" s="46"/>
      <c r="F49" s="46"/>
      <c r="G49" s="48"/>
      <c r="H49" s="46"/>
    </row>
    <row r="50" spans="2:8" s="45" customFormat="1" ht="17.25" customHeight="1" x14ac:dyDescent="0.25">
      <c r="B50" s="48"/>
      <c r="C50" s="46"/>
      <c r="D50" s="48"/>
      <c r="E50" s="46"/>
      <c r="F50" s="46"/>
      <c r="G50" s="48"/>
      <c r="H50" s="46"/>
    </row>
    <row r="51" spans="2:8" s="45" customFormat="1" ht="17.25" customHeight="1" x14ac:dyDescent="0.25">
      <c r="B51" s="48"/>
      <c r="C51" s="46"/>
      <c r="D51" s="48"/>
      <c r="E51" s="46"/>
      <c r="F51" s="46"/>
      <c r="G51" s="48"/>
      <c r="H51" s="46"/>
    </row>
    <row r="52" spans="2:8" s="45" customFormat="1" ht="17.25" customHeight="1" x14ac:dyDescent="0.25">
      <c r="B52" s="48"/>
      <c r="C52" s="46"/>
      <c r="D52" s="48"/>
      <c r="E52" s="46"/>
      <c r="F52" s="46"/>
      <c r="G52" s="48"/>
      <c r="H52" s="46"/>
    </row>
    <row r="53" spans="2:8" s="45" customFormat="1" ht="17.25" customHeight="1" x14ac:dyDescent="0.25">
      <c r="B53" s="48"/>
      <c r="C53" s="46"/>
      <c r="D53" s="48"/>
      <c r="E53" s="46"/>
      <c r="F53" s="46"/>
      <c r="G53" s="48"/>
      <c r="H53" s="46"/>
    </row>
    <row r="54" spans="2:8" s="45" customFormat="1" ht="17.25" customHeight="1" x14ac:dyDescent="0.25">
      <c r="B54" s="48"/>
      <c r="C54" s="46"/>
      <c r="D54" s="48"/>
      <c r="E54" s="46"/>
      <c r="F54" s="46"/>
      <c r="G54" s="48"/>
      <c r="H54" s="46"/>
    </row>
    <row r="55" spans="2:8" s="45" customFormat="1" ht="17.25" customHeight="1" x14ac:dyDescent="0.25">
      <c r="B55" s="48"/>
      <c r="C55" s="46"/>
      <c r="D55" s="48"/>
      <c r="E55" s="46"/>
      <c r="F55" s="46"/>
      <c r="G55" s="48"/>
      <c r="H55" s="46"/>
    </row>
    <row r="56" spans="2:8" s="45" customFormat="1" ht="17.25" customHeight="1" x14ac:dyDescent="0.25">
      <c r="B56" s="48"/>
      <c r="C56" s="46"/>
      <c r="D56" s="48"/>
      <c r="E56" s="46"/>
      <c r="F56" s="46"/>
      <c r="G56" s="48"/>
      <c r="H56" s="46"/>
    </row>
    <row r="57" spans="2:8" s="45" customFormat="1" ht="17.25" customHeight="1" x14ac:dyDescent="0.25">
      <c r="B57" s="48"/>
      <c r="C57" s="46"/>
      <c r="D57" s="48"/>
      <c r="E57" s="46"/>
      <c r="F57" s="46"/>
      <c r="G57" s="48"/>
      <c r="H57" s="46"/>
    </row>
    <row r="58" spans="2:8" s="45" customFormat="1" ht="17.25" customHeight="1" x14ac:dyDescent="0.25">
      <c r="B58" s="48"/>
      <c r="C58" s="46"/>
      <c r="D58" s="48"/>
      <c r="E58" s="46"/>
      <c r="F58" s="46"/>
      <c r="G58" s="48"/>
      <c r="H58" s="46"/>
    </row>
    <row r="59" spans="2:8" s="45" customFormat="1" ht="17.25" customHeight="1" x14ac:dyDescent="0.25">
      <c r="B59" s="48"/>
      <c r="C59" s="46"/>
      <c r="D59" s="48"/>
      <c r="E59" s="46"/>
      <c r="F59" s="46"/>
      <c r="G59" s="48"/>
      <c r="H59" s="46"/>
    </row>
    <row r="60" spans="2:8" s="45" customFormat="1" ht="17.25" customHeight="1" x14ac:dyDescent="0.25">
      <c r="B60" s="48"/>
      <c r="C60" s="46"/>
      <c r="D60" s="48"/>
      <c r="E60" s="46"/>
      <c r="F60" s="46"/>
      <c r="G60" s="48"/>
      <c r="H60" s="46"/>
    </row>
    <row r="61" spans="2:8" s="45" customFormat="1" ht="17.25" customHeight="1" x14ac:dyDescent="0.25">
      <c r="B61" s="48"/>
      <c r="C61" s="46"/>
      <c r="D61" s="48"/>
      <c r="E61" s="46"/>
      <c r="F61" s="46"/>
      <c r="G61" s="48"/>
      <c r="H61" s="46"/>
    </row>
    <row r="62" spans="2:8" s="45" customFormat="1" ht="17.25" customHeight="1" x14ac:dyDescent="0.25">
      <c r="B62" s="48"/>
      <c r="C62" s="46"/>
      <c r="D62" s="48"/>
      <c r="E62" s="46"/>
      <c r="F62" s="46"/>
      <c r="G62" s="48"/>
      <c r="H62" s="46"/>
    </row>
    <row r="63" spans="2:8" s="45" customFormat="1" ht="17.25" customHeight="1" x14ac:dyDescent="0.25">
      <c r="B63" s="48"/>
      <c r="C63" s="46"/>
      <c r="D63" s="48"/>
      <c r="E63" s="46"/>
      <c r="F63" s="46"/>
      <c r="G63" s="48"/>
      <c r="H63" s="46"/>
    </row>
    <row r="64" spans="2:8" s="45" customFormat="1" ht="17.25" customHeight="1" x14ac:dyDescent="0.25">
      <c r="B64" s="48"/>
      <c r="C64" s="46"/>
      <c r="D64" s="48"/>
      <c r="E64" s="46"/>
      <c r="F64" s="46"/>
      <c r="G64" s="48"/>
      <c r="H64" s="46"/>
    </row>
    <row r="65" spans="2:8" s="45" customFormat="1" ht="17.25" customHeight="1" x14ac:dyDescent="0.25">
      <c r="B65" s="48"/>
      <c r="C65" s="46"/>
      <c r="D65" s="48"/>
      <c r="E65" s="46"/>
      <c r="F65" s="46"/>
      <c r="G65" s="48"/>
      <c r="H65" s="46"/>
    </row>
    <row r="66" spans="2:8" s="45" customFormat="1" ht="17.25" customHeight="1" x14ac:dyDescent="0.25">
      <c r="B66" s="48"/>
      <c r="C66" s="46"/>
      <c r="D66" s="48"/>
      <c r="E66" s="46"/>
      <c r="F66" s="46"/>
      <c r="G66" s="48"/>
      <c r="H66" s="46"/>
    </row>
    <row r="67" spans="2:8" s="45" customFormat="1" ht="17.25" customHeight="1" x14ac:dyDescent="0.25">
      <c r="B67" s="48"/>
      <c r="C67" s="46"/>
      <c r="D67" s="48"/>
      <c r="E67" s="46"/>
      <c r="F67" s="46"/>
      <c r="G67" s="48"/>
      <c r="H67" s="46"/>
    </row>
    <row r="68" spans="2:8" s="45" customFormat="1" ht="17.25" customHeight="1" x14ac:dyDescent="0.25">
      <c r="B68" s="48"/>
      <c r="C68" s="46"/>
      <c r="D68" s="48"/>
      <c r="E68" s="46"/>
      <c r="F68" s="46"/>
      <c r="G68" s="48"/>
      <c r="H68" s="46"/>
    </row>
    <row r="69" spans="2:8" s="45" customFormat="1" ht="17.25" customHeight="1" x14ac:dyDescent="0.25">
      <c r="B69" s="48"/>
      <c r="C69" s="46"/>
      <c r="D69" s="48"/>
      <c r="E69" s="46"/>
      <c r="F69" s="46"/>
      <c r="G69" s="48"/>
      <c r="H69" s="46"/>
    </row>
    <row r="70" spans="2:8" s="45" customFormat="1" ht="17.25" customHeight="1" x14ac:dyDescent="0.25">
      <c r="B70" s="48"/>
      <c r="C70" s="46"/>
      <c r="D70" s="48"/>
      <c r="E70" s="46"/>
      <c r="F70" s="46"/>
      <c r="G70" s="48"/>
      <c r="H70" s="46"/>
    </row>
    <row r="71" spans="2:8" s="45" customFormat="1" ht="17.25" customHeight="1" x14ac:dyDescent="0.25">
      <c r="B71" s="48"/>
      <c r="C71" s="46"/>
      <c r="D71" s="48"/>
      <c r="E71" s="46"/>
      <c r="F71" s="46"/>
      <c r="G71" s="48"/>
      <c r="H71" s="46"/>
    </row>
    <row r="72" spans="2:8" s="45" customFormat="1" ht="17.25" customHeight="1" x14ac:dyDescent="0.25">
      <c r="B72" s="48"/>
      <c r="C72" s="46"/>
      <c r="D72" s="48"/>
      <c r="E72" s="46"/>
      <c r="F72" s="46"/>
      <c r="G72" s="48"/>
      <c r="H72" s="46"/>
    </row>
    <row r="73" spans="2:8" s="45" customFormat="1" ht="17.25" customHeight="1" x14ac:dyDescent="0.25">
      <c r="B73" s="48"/>
      <c r="C73" s="46"/>
      <c r="D73" s="48"/>
      <c r="E73" s="46"/>
      <c r="F73" s="46"/>
      <c r="G73" s="48"/>
      <c r="H73" s="46"/>
    </row>
    <row r="74" spans="2:8" s="45" customFormat="1" ht="17.25" customHeight="1" x14ac:dyDescent="0.25">
      <c r="B74" s="48"/>
      <c r="C74" s="46"/>
      <c r="D74" s="48"/>
      <c r="E74" s="46"/>
      <c r="F74" s="46"/>
      <c r="G74" s="48"/>
      <c r="H74" s="46"/>
    </row>
    <row r="75" spans="2:8" s="45" customFormat="1" ht="17.25" customHeight="1" x14ac:dyDescent="0.25">
      <c r="B75" s="48"/>
      <c r="C75" s="46"/>
      <c r="D75" s="48"/>
      <c r="E75" s="46"/>
      <c r="F75" s="46"/>
      <c r="G75" s="48"/>
      <c r="H75" s="46"/>
    </row>
    <row r="76" spans="2:8" s="45" customFormat="1" ht="17.25" customHeight="1" x14ac:dyDescent="0.25">
      <c r="B76" s="48"/>
      <c r="C76" s="46"/>
      <c r="D76" s="48"/>
      <c r="E76" s="46"/>
      <c r="F76" s="46"/>
      <c r="G76" s="48"/>
      <c r="H76" s="46"/>
    </row>
    <row r="77" spans="2:8" s="45" customFormat="1" ht="17.25" customHeight="1" x14ac:dyDescent="0.25">
      <c r="B77" s="48"/>
      <c r="C77" s="46"/>
      <c r="D77" s="48"/>
      <c r="E77" s="46"/>
      <c r="F77" s="46"/>
      <c r="G77" s="48"/>
      <c r="H77" s="46"/>
    </row>
    <row r="78" spans="2:8" s="45" customFormat="1" ht="17.25" customHeight="1" x14ac:dyDescent="0.25">
      <c r="B78" s="48"/>
      <c r="C78" s="46"/>
      <c r="D78" s="48"/>
      <c r="E78" s="46"/>
      <c r="F78" s="46"/>
      <c r="G78" s="48"/>
      <c r="H78" s="46"/>
    </row>
    <row r="79" spans="2:8" s="45" customFormat="1" ht="17.25" customHeight="1" x14ac:dyDescent="0.25">
      <c r="B79" s="48"/>
      <c r="C79" s="46"/>
      <c r="D79" s="48"/>
      <c r="E79" s="46"/>
      <c r="F79" s="46"/>
      <c r="G79" s="48"/>
      <c r="H79" s="46"/>
    </row>
    <row r="80" spans="2:8" s="45" customFormat="1" ht="17.25" customHeight="1" x14ac:dyDescent="0.25">
      <c r="B80" s="48"/>
      <c r="C80" s="46"/>
      <c r="D80" s="48"/>
      <c r="E80" s="46"/>
      <c r="F80" s="46"/>
      <c r="G80" s="48"/>
      <c r="H80" s="46"/>
    </row>
    <row r="81" spans="2:8" s="45" customFormat="1" ht="17.25" customHeight="1" x14ac:dyDescent="0.25">
      <c r="B81" s="48"/>
      <c r="C81" s="46"/>
      <c r="D81" s="48"/>
      <c r="E81" s="46"/>
      <c r="F81" s="46"/>
      <c r="G81" s="48"/>
      <c r="H81" s="46"/>
    </row>
    <row r="82" spans="2:8" s="45" customFormat="1" ht="17.25" customHeight="1" x14ac:dyDescent="0.25">
      <c r="B82" s="48"/>
      <c r="C82" s="46"/>
      <c r="D82" s="48"/>
      <c r="E82" s="46"/>
      <c r="F82" s="46"/>
      <c r="G82" s="48"/>
      <c r="H82" s="46"/>
    </row>
    <row r="83" spans="2:8" s="45" customFormat="1" ht="17.25" customHeight="1" x14ac:dyDescent="0.25">
      <c r="B83" s="48"/>
      <c r="C83" s="46"/>
      <c r="D83" s="48"/>
      <c r="E83" s="46"/>
      <c r="F83" s="46"/>
      <c r="G83" s="48"/>
      <c r="H83" s="46"/>
    </row>
    <row r="84" spans="2:8" s="45" customFormat="1" ht="17.25" customHeight="1" x14ac:dyDescent="0.25">
      <c r="B84" s="48"/>
      <c r="C84" s="46"/>
      <c r="D84" s="48"/>
      <c r="E84" s="46"/>
      <c r="F84" s="46"/>
      <c r="G84" s="48"/>
      <c r="H84" s="46"/>
    </row>
    <row r="85" spans="2:8" s="45" customFormat="1" ht="17.25" customHeight="1" x14ac:dyDescent="0.25">
      <c r="B85" s="48"/>
      <c r="C85" s="46"/>
      <c r="D85" s="48"/>
      <c r="E85" s="46"/>
      <c r="F85" s="46"/>
      <c r="G85" s="48"/>
      <c r="H85" s="46"/>
    </row>
    <row r="86" spans="2:8" s="45" customFormat="1" ht="17.25" customHeight="1" x14ac:dyDescent="0.25">
      <c r="B86" s="48"/>
      <c r="C86" s="46"/>
      <c r="D86" s="48"/>
      <c r="E86" s="46"/>
      <c r="F86" s="46"/>
      <c r="G86" s="48"/>
      <c r="H86" s="46"/>
    </row>
    <row r="87" spans="2:8" s="45" customFormat="1" ht="17.25" customHeight="1" x14ac:dyDescent="0.25">
      <c r="B87" s="48"/>
      <c r="C87" s="46"/>
      <c r="D87" s="48"/>
      <c r="E87" s="46"/>
      <c r="F87" s="46"/>
      <c r="G87" s="48"/>
      <c r="H87" s="46"/>
    </row>
    <row r="88" spans="2:8" s="45" customFormat="1" ht="17.25" customHeight="1" x14ac:dyDescent="0.25">
      <c r="B88" s="48"/>
      <c r="C88" s="46"/>
      <c r="D88" s="48"/>
      <c r="E88" s="46"/>
      <c r="F88" s="46"/>
      <c r="G88" s="48"/>
      <c r="H88" s="46"/>
    </row>
    <row r="89" spans="2:8" s="45" customFormat="1" ht="17.25" customHeight="1" x14ac:dyDescent="0.25">
      <c r="B89" s="70"/>
      <c r="C89" s="42"/>
      <c r="D89" s="70"/>
      <c r="E89" s="42"/>
      <c r="F89" s="42"/>
      <c r="G89" s="48"/>
      <c r="H89" s="46"/>
    </row>
    <row r="90" spans="2:8" s="45" customFormat="1" ht="17.25" customHeight="1" x14ac:dyDescent="0.25">
      <c r="B90" s="70"/>
      <c r="C90" s="42"/>
      <c r="D90" s="70"/>
      <c r="E90" s="42"/>
      <c r="F90" s="42"/>
      <c r="G90" s="48"/>
      <c r="H90" s="46"/>
    </row>
    <row r="91" spans="2:8" s="45" customFormat="1" ht="17.25" customHeight="1" x14ac:dyDescent="0.25">
      <c r="B91" s="70"/>
      <c r="C91" s="42"/>
      <c r="D91" s="70"/>
      <c r="E91" s="42"/>
      <c r="F91" s="42"/>
      <c r="G91" s="48"/>
      <c r="H91" s="46"/>
    </row>
    <row r="92" spans="2:8" s="45" customFormat="1" ht="17.25" customHeight="1" x14ac:dyDescent="0.25">
      <c r="B92" s="70"/>
      <c r="C92" s="42"/>
      <c r="D92" s="70"/>
      <c r="E92" s="42"/>
      <c r="F92" s="42"/>
      <c r="G92" s="48"/>
      <c r="H92" s="46"/>
    </row>
    <row r="93" spans="2:8" s="45" customFormat="1" ht="17.25" customHeight="1" x14ac:dyDescent="0.25">
      <c r="B93" s="70"/>
      <c r="C93" s="42"/>
      <c r="D93" s="70"/>
      <c r="E93" s="42"/>
      <c r="F93" s="42"/>
      <c r="G93" s="48"/>
      <c r="H93" s="46"/>
    </row>
    <row r="94" spans="2:8" s="45" customFormat="1" ht="17.25" customHeight="1" x14ac:dyDescent="0.25">
      <c r="B94" s="70"/>
      <c r="C94" s="42"/>
      <c r="D94" s="70"/>
      <c r="E94" s="42"/>
      <c r="F94" s="42"/>
      <c r="G94" s="48"/>
      <c r="H94" s="46"/>
    </row>
    <row r="95" spans="2:8" s="45" customFormat="1" ht="17.25" customHeight="1" x14ac:dyDescent="0.25">
      <c r="B95" s="70"/>
      <c r="C95" s="42"/>
      <c r="D95" s="70"/>
      <c r="E95" s="42"/>
      <c r="F95" s="42"/>
      <c r="G95" s="48"/>
      <c r="H95" s="46"/>
    </row>
    <row r="96" spans="2:8" s="45" customFormat="1" ht="17.25" customHeight="1" x14ac:dyDescent="0.25">
      <c r="B96" s="70"/>
      <c r="C96" s="42"/>
      <c r="D96" s="70"/>
      <c r="E96" s="42"/>
      <c r="F96" s="42"/>
      <c r="G96" s="70"/>
      <c r="H96" s="46"/>
    </row>
  </sheetData>
  <protectedRanges>
    <protectedRange sqref="C1" name="Rango1"/>
  </protectedRanges>
  <sortState xmlns:xlrd2="http://schemas.microsoft.com/office/spreadsheetml/2017/richdata2" ref="D14:D28">
    <sortCondition descending="1" ref="D28"/>
  </sortState>
  <mergeCells count="19">
    <mergeCell ref="B22:C22"/>
    <mergeCell ref="C1:N3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9:C29"/>
    <mergeCell ref="B30:C30"/>
    <mergeCell ref="B23:C23"/>
    <mergeCell ref="B24:C24"/>
    <mergeCell ref="B25:C25"/>
    <mergeCell ref="B26:C26"/>
    <mergeCell ref="B27:C27"/>
    <mergeCell ref="B28:C28"/>
  </mergeCells>
  <dataValidations count="1">
    <dataValidation type="list" allowBlank="1" showInputMessage="1" showErrorMessage="1" sqref="C8:C10" xr:uid="{C0519B4F-458F-4FFB-9762-DA7A292D3B59}">
      <formula1>"1,2,3,4,5,6,7,8,9,10,11,12,13,14,15,16,17,18,19,20"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2E7BB3-11ED-414A-9BB5-80AD4BFB5A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Registro Historias de Usuario</vt:lpstr>
      <vt:lpstr>Product Backlog</vt:lpstr>
      <vt:lpstr>Asignación Tareas</vt:lpstr>
      <vt:lpstr>Descripción de Tareas</vt:lpstr>
      <vt:lpstr>Sprint Backlog</vt:lpstr>
      <vt:lpstr>Sprint BurnDown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2021-01-28T18:13:08Z</dcterms:created>
  <dcterms:modified xsi:type="dcterms:W3CDTF">2021-02-01T19:43:14Z</dcterms:modified>
</cp:coreProperties>
</file>